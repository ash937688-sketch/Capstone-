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D4CD6D1E-5939-469C-B448-F930C36D1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T" sheetId="1" r:id="rId1"/>
    <sheet name="Diccionario EDT" sheetId="2" r:id="rId2"/>
    <sheet name="Control" sheetId="3" r:id="rId3"/>
    <sheet name="Guía y fuen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3" l="1"/>
  <c r="E8" i="3" s="1"/>
  <c r="B8" i="3"/>
  <c r="E7" i="3" s="1"/>
  <c r="B7" i="3"/>
  <c r="E6" i="3" s="1"/>
  <c r="B6" i="3"/>
  <c r="E5" i="3" s="1"/>
  <c r="B5" i="3"/>
</calcChain>
</file>

<file path=xl/sharedStrings.xml><?xml version="1.0" encoding="utf-8"?>
<sst xmlns="http://schemas.openxmlformats.org/spreadsheetml/2006/main" count="432" uniqueCount="274">
  <si>
    <t>CONTROL GENERAL DE LA EDT</t>
  </si>
  <si>
    <t>Indicador</t>
  </si>
  <si>
    <t>Valor</t>
  </si>
  <si>
    <t>Estado</t>
  </si>
  <si>
    <t>Cantidad</t>
  </si>
  <si>
    <t>Planificados</t>
  </si>
  <si>
    <t>En curso</t>
  </si>
  <si>
    <t>Completados</t>
  </si>
  <si>
    <t>Bloqueados</t>
  </si>
  <si>
    <t>BASE UTILIZADA PARA CONSTRUIR LA EDT</t>
  </si>
  <si>
    <t>Elemento</t>
  </si>
  <si>
    <t>Aplicación en este archivo</t>
  </si>
  <si>
    <t>Fuente</t>
  </si>
  <si>
    <t>Observación</t>
  </si>
  <si>
    <t>Estructura jerárquica</t>
  </si>
  <si>
    <t>Nivel 1 = proyecto; Nivel 2 = entregables principales; Nivel 3 = paquetes de trabajo.</t>
  </si>
  <si>
    <t>https://asana.com/es/resources/work-breakdown-structure</t>
  </si>
  <si>
    <t>Se siguió la lógica de la guía entregada por la docente.</t>
  </si>
  <si>
    <t>Regla del 100 %</t>
  </si>
  <si>
    <t>Cada entregable de Nivel 2 se descompone en el trabajo necesario para completarlo, evitando omisiones y duplicidades.</t>
  </si>
  <si>
    <t>Se contrastó con el alcance y MVP definidos en el Proyecto APT.</t>
  </si>
  <si>
    <t>Diccionario EDT</t>
  </si>
  <si>
    <t>Incluye descripción, entregable, responsable, dependencias, fechas, presupuesto, estado y criterio de aceptación.</t>
  </si>
  <si>
    <t>Responsables, fechas y presupuesto quedan editables cuando no existe acuerdo real del equipo.</t>
  </si>
  <si>
    <t>Alcance técnico</t>
  </si>
  <si>
    <t>Tótem, reconocimiento facial/liveness, PIN, PWA, dashboard, backend, datos, seguridad y pruebas.</t>
  </si>
  <si>
    <t>1.4_APT122_FormativaFase1LISTA(1).docx</t>
  </si>
  <si>
    <t>Base de coherencia del proyecto.</t>
  </si>
  <si>
    <t>Metodología técnica</t>
  </si>
  <si>
    <t>TDD aplicado a funcionalidades verificables y complementado con pruebas de integración, funcionales, seguridad y usabilidad.</t>
  </si>
  <si>
    <t>TDD orienta el desarrollo técnico; la EDT organiza el trabajo.</t>
  </si>
  <si>
    <t>Protección de datos</t>
  </si>
  <si>
    <t>Actividades de privacidad y seguridad consideradas en el alcance.</t>
  </si>
  <si>
    <t>https://www.bcn.cl/leychile/</t>
  </si>
  <si>
    <t>Se mantiene el enfoque ya definido en el Proyecto APT.</t>
  </si>
  <si>
    <t>ESTRUCTURA DE DESGLOSE DEL TRABAJO (EDT)</t>
  </si>
  <si>
    <t>Proyecto Capstone · Ingeniería en Informática · AsistIA</t>
  </si>
  <si>
    <t>1.0
AsistIA
Sistema inteligente de verificación de identidad y gestión de asistencia</t>
  </si>
  <si>
    <t>1.1
Gestión ágil del proyecto</t>
  </si>
  <si>
    <t>1.2
Diseño de la solución</t>
  </si>
  <si>
    <t>1.3
Construcción del MVP</t>
  </si>
  <si>
    <t>1.4
Integración y calidad</t>
  </si>
  <si>
    <t>1.5
Entrega y cierre</t>
  </si>
  <si>
    <t>1.1.1
Revisión de Ley N.º 21.719</t>
  </si>
  <si>
    <t>1.2.1
Arquitectura y datos</t>
  </si>
  <si>
    <t>1.3.1
Backend y base de datos</t>
  </si>
  <si>
    <t>1.4.1
Integración del sistema</t>
  </si>
  <si>
    <t>1.5.1
Prototipo funcional</t>
  </si>
  <si>
    <t>1.1.1.1
Aspectos aplicables al proyecto identificados</t>
  </si>
  <si>
    <t>1.2.1.1
Arquitectura de AsistIA definida</t>
  </si>
  <si>
    <t>1.3.1.1
Usuarios, roles y datos académicos implementados</t>
  </si>
  <si>
    <t>1.4.1.1
Componentes conectados mediante API</t>
  </si>
  <si>
    <t>1.5.1.1
Entorno de demostración preparado</t>
  </si>
  <si>
    <t>1.1.1.2
Criterios de privacidad y tratamiento de datos definidos</t>
  </si>
  <si>
    <t>1.2.1.2
Modelo de datos diseñado</t>
  </si>
  <si>
    <t>1.3.1.2
Sesiones, asistencia y PIN implementados</t>
  </si>
  <si>
    <t>1.4.1.2
Flujo biométrico integrado</t>
  </si>
  <si>
    <t>1.5.1.2
Flujos principales demostrables</t>
  </si>
  <si>
    <t>1.3.1.3
Servicios y API desarrollados</t>
  </si>
  <si>
    <t>1.4.1.3
Flujo mediante PIN integrado</t>
  </si>
  <si>
    <t>1.1.2
Planificación y organización</t>
  </si>
  <si>
    <t>1.2.2
Flujos e interfaces</t>
  </si>
  <si>
    <t>1.5.2
Documentación y evidencias</t>
  </si>
  <si>
    <t>1.1.2.1
Alcance y MVP establecidos</t>
  </si>
  <si>
    <t>1.2.2.1
Flujos de marcación definidos</t>
  </si>
  <si>
    <t>1.3.2
PWA y dashboard</t>
  </si>
  <si>
    <t>1.4.2
Pruebas y TDD</t>
  </si>
  <si>
    <t>1.5.2.1
Documentación técnica consolidada</t>
  </si>
  <si>
    <t>1.1.2.2
Roles y responsabilidades definidos</t>
  </si>
  <si>
    <t>1.2.2.2
Interfaces del tótem, PWA y dashboard diseñadas</t>
  </si>
  <si>
    <t>1.3.2.1
PWA del estudiante desarrollada</t>
  </si>
  <si>
    <t>1.4.2.1
Pruebas unitarias ejecutadas</t>
  </si>
  <si>
    <t>1.5.2.2
Guía de uso y evidencias preparadas</t>
  </si>
  <si>
    <t>1.1.2.3
Plan de trabajo de 16 semanas establecido</t>
  </si>
  <si>
    <t>1.3.2.2
Dashboard docente y administrativo desarrollado</t>
  </si>
  <si>
    <t>1.4.2.2
Pruebas de integración y funcionales ejecutadas</t>
  </si>
  <si>
    <t>1.2.3
Seguridad y privacidad</t>
  </si>
  <si>
    <t>1.5.3
Presentación y cierre</t>
  </si>
  <si>
    <t>1.4.2.3
Errores corregidos y código refactorizado</t>
  </si>
  <si>
    <t>1.1.3
Seguimiento del proyecto</t>
  </si>
  <si>
    <t>1.2.3.1
Controles de acceso y trazabilidad definidos</t>
  </si>
  <si>
    <t>1.3.3
Tótem y verificación</t>
  </si>
  <si>
    <t>1.5.3.1
Presentación final preparada</t>
  </si>
  <si>
    <t>1.1.3.1
Avance y acuerdos registrados</t>
  </si>
  <si>
    <t>1.2.3.2
Tratamiento de datos personales y biométricos definido</t>
  </si>
  <si>
    <t>1.3.3.1
Interfaz y captura facial implementadas</t>
  </si>
  <si>
    <t>1.4.3
Validación del MVP</t>
  </si>
  <si>
    <t>1.5.3.2
Resultados y lecciones aprendidas documentados</t>
  </si>
  <si>
    <t>1.1.3.2
Riesgos y cambios controlados</t>
  </si>
  <si>
    <t>1.3.3.2
Verificación facial y liveness implementados</t>
  </si>
  <si>
    <t>1.4.3.1
Seguridad y usabilidad verificadas</t>
  </si>
  <si>
    <t>1.1.3.3
Repositorio y evidencias mantenidos</t>
  </si>
  <si>
    <t>1.3.3.3
Ingreso alternativo mediante PIN implementado</t>
  </si>
  <si>
    <t>1.4.3.2
MVP validado integralmente</t>
  </si>
  <si>
    <t>Lectura de la EDT: Nivel 1 = proyecto AsistIA; Nivel 2 = entregables principales; Nivel 3 = componentes o subentregables; Nivel 4 = paquetes de trabajo. La EDT organiza entregables y trabajo del proyecto; el Product Backlog mantiene por separado la priorización de épicas, features e historias de usuario.</t>
  </si>
  <si>
    <t>DICCIONARIO EDT – ASISTIA</t>
  </si>
  <si>
    <t>Código</t>
  </si>
  <si>
    <t>Nivel</t>
  </si>
  <si>
    <t>Elemento EDT</t>
  </si>
  <si>
    <t>Descripción / resultado esperado</t>
  </si>
  <si>
    <t>Tipo</t>
  </si>
  <si>
    <t>Referencia</t>
  </si>
  <si>
    <t>1.0</t>
  </si>
  <si>
    <t>AsistIA</t>
  </si>
  <si>
    <t>MVP de verificación de identidad y gestión de asistencia desarrollado y validado.</t>
  </si>
  <si>
    <t>Proyecto</t>
  </si>
  <si>
    <t>Proyecto APT</t>
  </si>
  <si>
    <t>1.1</t>
  </si>
  <si>
    <t>Gestión ágil del proyecto</t>
  </si>
  <si>
    <t>Entregable principal: gestión ágil del proyecto.</t>
  </si>
  <si>
    <t>Entregable</t>
  </si>
  <si>
    <t>EDT</t>
  </si>
  <si>
    <t>1.1.1</t>
  </si>
  <si>
    <t>Revisión de Ley N.º 21.719</t>
  </si>
  <si>
    <t>Componente asociado a gestión ágil del proyecto.</t>
  </si>
  <si>
    <t>Subentregable</t>
  </si>
  <si>
    <t>1.1.1.1</t>
  </si>
  <si>
    <t>Aspectos aplicables al proyecto identificados</t>
  </si>
  <si>
    <t>Resultado verificable: aspectos aplicables al proyecto identificados.</t>
  </si>
  <si>
    <t>Paquete de trabajo</t>
  </si>
  <si>
    <t>EDT / Scrum</t>
  </si>
  <si>
    <t>Planificado</t>
  </si>
  <si>
    <t>1.1.1.2</t>
  </si>
  <si>
    <t>Criterios de privacidad y tratamiento de datos definidos</t>
  </si>
  <si>
    <t>Resultado verificable: criterios de privacidad y tratamiento de datos definidos.</t>
  </si>
  <si>
    <t>1.1.2</t>
  </si>
  <si>
    <t>Planificación y organización</t>
  </si>
  <si>
    <t>1.1.2.1</t>
  </si>
  <si>
    <t>Alcance y MVP establecidos</t>
  </si>
  <si>
    <t>Resultado verificable: alcance y mvp establecidos.</t>
  </si>
  <si>
    <t>1.1.2.2</t>
  </si>
  <si>
    <t>Roles y responsabilidades definidos</t>
  </si>
  <si>
    <t>Resultado verificable: roles y responsabilidades definidos.</t>
  </si>
  <si>
    <t>1.1.2.3</t>
  </si>
  <si>
    <t>Plan de trabajo de 16 semanas establecido</t>
  </si>
  <si>
    <t>Resultado verificable: plan de trabajo de 16 semanas establecido.</t>
  </si>
  <si>
    <t>1.1.3</t>
  </si>
  <si>
    <t>Seguimiento del proyecto</t>
  </si>
  <si>
    <t>1.1.3.1</t>
  </si>
  <si>
    <t>Avance y acuerdos registrados</t>
  </si>
  <si>
    <t>Resultado verificable: avance y acuerdos registrados.</t>
  </si>
  <si>
    <t>1.1.3.2</t>
  </si>
  <si>
    <t>Riesgos y cambios controlados</t>
  </si>
  <si>
    <t>Resultado verificable: riesgos y cambios controlados.</t>
  </si>
  <si>
    <t>1.1.3.3</t>
  </si>
  <si>
    <t>Repositorio y evidencias mantenidos</t>
  </si>
  <si>
    <t>Resultado verificable: repositorio y evidencias mantenidos.</t>
  </si>
  <si>
    <t>1.2</t>
  </si>
  <si>
    <t>Diseño de la solución</t>
  </si>
  <si>
    <t>Entregable principal: diseño de la solución.</t>
  </si>
  <si>
    <t>1.2.1</t>
  </si>
  <si>
    <t>Arquitectura y datos</t>
  </si>
  <si>
    <t>Componente asociado a diseño de la solución.</t>
  </si>
  <si>
    <t>1.2.1.1</t>
  </si>
  <si>
    <t>Arquitectura de AsistIA definida</t>
  </si>
  <si>
    <t>Resultado verificable: arquitectura de asistia definida.</t>
  </si>
  <si>
    <t>1.2.1.2</t>
  </si>
  <si>
    <t>Modelo de datos diseñado</t>
  </si>
  <si>
    <t>Resultado verificable: modelo de datos diseñado.</t>
  </si>
  <si>
    <t>1.2.2</t>
  </si>
  <si>
    <t>Flujos e interfaces</t>
  </si>
  <si>
    <t>1.2.2.1</t>
  </si>
  <si>
    <t>Flujos de marcación definidos</t>
  </si>
  <si>
    <t>Resultado verificable: flujos de marcación definidos.</t>
  </si>
  <si>
    <t>1.2.2.2</t>
  </si>
  <si>
    <t>Interfaces del tótem, PWA y dashboard diseñadas</t>
  </si>
  <si>
    <t>Resultado verificable: interfaces del tótem, pwa y dashboard diseñadas.</t>
  </si>
  <si>
    <t>1.2.3</t>
  </si>
  <si>
    <t>Seguridad y privacidad</t>
  </si>
  <si>
    <t>1.2.3.1</t>
  </si>
  <si>
    <t>Controles de acceso y trazabilidad definidos</t>
  </si>
  <si>
    <t>Resultado verificable: controles de acceso y trazabilidad definidos.</t>
  </si>
  <si>
    <t>1.2.3.2</t>
  </si>
  <si>
    <t>Tratamiento de datos personales y biométricos definido</t>
  </si>
  <si>
    <t>Resultado verificable: tratamiento de datos personales y biométricos definido.</t>
  </si>
  <si>
    <t>1.3</t>
  </si>
  <si>
    <t>Construcción del MVP</t>
  </si>
  <si>
    <t>Entregable principal: construcción del mvp.</t>
  </si>
  <si>
    <t>1.3.1</t>
  </si>
  <si>
    <t>Backend y base de datos</t>
  </si>
  <si>
    <t>Componente asociado a construcción del mvp.</t>
  </si>
  <si>
    <t>1.3.1.1</t>
  </si>
  <si>
    <t>Usuarios, roles y datos académicos implementados</t>
  </si>
  <si>
    <t>Resultado verificable: usuarios, roles y datos académicos implementados.</t>
  </si>
  <si>
    <t>1.3.1.2</t>
  </si>
  <si>
    <t>Sesiones, asistencia y PIN implementados</t>
  </si>
  <si>
    <t>Resultado verificable: sesiones, asistencia y pin implementados.</t>
  </si>
  <si>
    <t>1.3.1.3</t>
  </si>
  <si>
    <t>Servicios y API desarrollados</t>
  </si>
  <si>
    <t>Resultado verificable: servicios y api desarrollados.</t>
  </si>
  <si>
    <t>1.3.2</t>
  </si>
  <si>
    <t>PWA y dashboard</t>
  </si>
  <si>
    <t>1.3.2.1</t>
  </si>
  <si>
    <t>PWA del estudiante desarrollada</t>
  </si>
  <si>
    <t>Resultado verificable: pwa del estudiante desarrollada.</t>
  </si>
  <si>
    <t>1.3.2.2</t>
  </si>
  <si>
    <t>Dashboard docente y administrativo desarrollado</t>
  </si>
  <si>
    <t>Resultado verificable: dashboard docente y administrativo desarrollado.</t>
  </si>
  <si>
    <t>1.3.3</t>
  </si>
  <si>
    <t>Tótem y verificación</t>
  </si>
  <si>
    <t>1.3.3.1</t>
  </si>
  <si>
    <t>Interfaz y captura facial implementadas</t>
  </si>
  <si>
    <t>Resultado verificable: interfaz y captura facial implementadas.</t>
  </si>
  <si>
    <t>1.3.3.2</t>
  </si>
  <si>
    <t>Verificación facial y liveness implementados</t>
  </si>
  <si>
    <t>Resultado verificable: verificación facial y liveness implementados.</t>
  </si>
  <si>
    <t>1.3.3.3</t>
  </si>
  <si>
    <t>Ingreso alternativo mediante PIN implementado</t>
  </si>
  <si>
    <t>Resultado verificable: ingreso alternativo mediante pin implementado.</t>
  </si>
  <si>
    <t>1.4</t>
  </si>
  <si>
    <t>Integración y calidad</t>
  </si>
  <si>
    <t>Entregable principal: integración y calidad.</t>
  </si>
  <si>
    <t>1.4.1</t>
  </si>
  <si>
    <t>Integración del sistema</t>
  </si>
  <si>
    <t>Componente asociado a integración y calidad.</t>
  </si>
  <si>
    <t>1.4.1.1</t>
  </si>
  <si>
    <t>Componentes conectados mediante API</t>
  </si>
  <si>
    <t>Resultado verificable: componentes conectados mediante api.</t>
  </si>
  <si>
    <t>1.4.1.2</t>
  </si>
  <si>
    <t>Flujo biométrico integrado</t>
  </si>
  <si>
    <t>Resultado verificable: flujo biométrico integrado.</t>
  </si>
  <si>
    <t>1.4.1.3</t>
  </si>
  <si>
    <t>Flujo mediante PIN integrado</t>
  </si>
  <si>
    <t>Resultado verificable: flujo mediante pin integrado.</t>
  </si>
  <si>
    <t>1.4.2</t>
  </si>
  <si>
    <t>Pruebas y TDD</t>
  </si>
  <si>
    <t>1.4.2.1</t>
  </si>
  <si>
    <t>Pruebas unitarias ejecutadas</t>
  </si>
  <si>
    <t>Resultado verificable: pruebas unitarias ejecutadas.</t>
  </si>
  <si>
    <t>1.4.2.2</t>
  </si>
  <si>
    <t>Pruebas de integración y funcionales ejecutadas</t>
  </si>
  <si>
    <t>Resultado verificable: pruebas de integración y funcionales ejecutadas.</t>
  </si>
  <si>
    <t>1.4.2.3</t>
  </si>
  <si>
    <t>Errores corregidos y código refactorizado</t>
  </si>
  <si>
    <t>Resultado verificable: errores corregidos y código refactorizado.</t>
  </si>
  <si>
    <t>1.4.3</t>
  </si>
  <si>
    <t>Validación del MVP</t>
  </si>
  <si>
    <t>1.4.3.1</t>
  </si>
  <si>
    <t>Seguridad y usabilidad verificadas</t>
  </si>
  <si>
    <t>Resultado verificable: seguridad y usabilidad verificadas.</t>
  </si>
  <si>
    <t>1.4.3.2</t>
  </si>
  <si>
    <t>MVP validado integralmente</t>
  </si>
  <si>
    <t>Resultado verificable: mvp validado integralmente.</t>
  </si>
  <si>
    <t>1.5</t>
  </si>
  <si>
    <t>Entrega y cierre</t>
  </si>
  <si>
    <t>Entregable principal: entrega y cierre.</t>
  </si>
  <si>
    <t>1.5.1</t>
  </si>
  <si>
    <t>Prototipo funcional</t>
  </si>
  <si>
    <t>Componente asociado a entrega y cierre.</t>
  </si>
  <si>
    <t>1.5.1.1</t>
  </si>
  <si>
    <t>Entorno de demostración preparado</t>
  </si>
  <si>
    <t>Resultado verificable: entorno de demostración preparado.</t>
  </si>
  <si>
    <t>1.5.1.2</t>
  </si>
  <si>
    <t>Flujos principales demostrables</t>
  </si>
  <si>
    <t>Resultado verificable: flujos principales demostrables.</t>
  </si>
  <si>
    <t>1.5.2</t>
  </si>
  <si>
    <t>Documentación y evidencias</t>
  </si>
  <si>
    <t>1.5.2.1</t>
  </si>
  <si>
    <t>Documentación técnica consolidada</t>
  </si>
  <si>
    <t>Resultado verificable: documentación técnica consolidada.</t>
  </si>
  <si>
    <t>1.5.2.2</t>
  </si>
  <si>
    <t>Guía de uso y evidencias preparadas</t>
  </si>
  <si>
    <t>Resultado verificable: guía de uso y evidencias preparadas.</t>
  </si>
  <si>
    <t>1.5.3</t>
  </si>
  <si>
    <t>Presentación y cierre</t>
  </si>
  <si>
    <t>1.5.3.1</t>
  </si>
  <si>
    <t>Presentación final preparada</t>
  </si>
  <si>
    <t>Resultado verificable: presentación final preparada.</t>
  </si>
  <si>
    <t>1.5.3.2</t>
  </si>
  <si>
    <t>Resultados y lecciones aprendidas documentados</t>
  </si>
  <si>
    <t>Resultado verificable: resultados y lecciones aprendidas documentados.</t>
  </si>
  <si>
    <t>Paquetes de trabajo (Nivel 4)</t>
  </si>
  <si>
    <t>Completado</t>
  </si>
  <si>
    <t>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</si>
</sst>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6">
    <font>
      <sz val="11"/>
      <color rgb="FF000000"/>
      <name val="Carlito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6"/>
      <color rgb="FFFFFFFF"/>
      <name val="Calibri"/>
    </font>
    <font>
      <sz val="11"/>
      <name val="Carlito"/>
    </font>
    <font>
      <sz val="11"/>
      <color theme="1"/>
      <name val="Calibri"/>
    </font>
    <font>
      <b/>
      <sz val="11"/>
      <color rgb="FF1F3A5F"/>
      <name val="Calibri"/>
    </font>
    <font>
      <b/>
      <sz val="11"/>
      <color rgb="FF22313F"/>
      <name val="Calibri"/>
    </font>
    <font>
      <b/>
      <sz val="9"/>
      <color rgb="FF22313F"/>
      <name val="Calibri"/>
    </font>
    <font>
      <sz val="8"/>
      <color rgb="FF22313F"/>
      <name val="Calibri"/>
    </font>
    <font>
      <b/>
      <sz val="15"/>
      <color rgb="FFFFFFFF"/>
      <name val="Calibri"/>
    </font>
    <font>
      <b/>
      <sz val="16"/>
      <color rgb="FFFFFFFF"/>
      <name val="Carlito"/>
    </font>
    <font>
      <i/>
      <sz val="10"/>
      <color rgb="FF44546A"/>
      <name val="Calibri"/>
    </font>
    <font>
      <i/>
      <sz val="10"/>
      <color rgb="FF44546A"/>
      <name val="Carlito"/>
    </font>
    <font>
      <b/>
      <sz val="13"/>
      <color rgb="FF17365D"/>
      <name val="Calibri"/>
    </font>
    <font>
      <b/>
      <sz val="13"/>
      <color rgb="FF17365D"/>
      <name val="Carlito"/>
    </font>
    <font>
      <b/>
      <sz val="13"/>
      <color rgb="FF17365D"/>
      <name val="Carlito"/>
    </font>
    <font>
      <b/>
      <sz val="9"/>
      <color rgb="FFFFFFFF"/>
      <name val="Calibri"/>
    </font>
    <font>
      <b/>
      <sz val="9"/>
      <color rgb="FFFFFFFF"/>
      <name val="Carlito"/>
    </font>
    <font>
      <b/>
      <sz val="9"/>
      <color rgb="FF1F4E78"/>
      <name val="Calibri"/>
    </font>
    <font>
      <b/>
      <sz val="9"/>
      <color rgb="FF1F4E78"/>
      <name val="Carlito"/>
    </font>
    <font>
      <sz val="8"/>
      <color rgb="FF404040"/>
      <name val="Carlito"/>
    </font>
    <font>
      <sz val="8"/>
      <color rgb="FF404040"/>
      <name val="Calibri"/>
    </font>
    <font>
      <i/>
      <sz val="8"/>
      <color rgb="FF404040"/>
      <name val="Calibri"/>
    </font>
    <font>
      <i/>
      <sz val="9"/>
      <color rgb="FF595959"/>
      <name val="Calibri"/>
    </font>
    <font>
      <b/>
      <sz val="8"/>
      <color rgb="FF40404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8F2"/>
      </patternFill>
    </fill>
    <fill>
      <patternFill patternType="solid">
        <fgColor rgb="FF2F5597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7F9FB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7F9FB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F2F2F2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/>
      <diagonal/>
    </border>
    <border>
      <left/>
      <right/>
      <top style="thin">
        <color rgb="FF9FBAD0"/>
      </top>
      <bottom/>
      <diagonal/>
    </border>
    <border>
      <left/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2F5597"/>
      </left>
      <right/>
      <top style="thin">
        <color rgb="FF2F5597"/>
      </top>
      <bottom/>
      <diagonal/>
    </border>
    <border>
      <left/>
      <right/>
      <top style="thin">
        <color rgb="FF2F5597"/>
      </top>
      <bottom/>
      <diagonal/>
    </border>
    <border>
      <left/>
      <right/>
      <top style="thin">
        <color rgb="FF2F5597"/>
      </top>
      <bottom/>
      <diagonal/>
    </border>
    <border>
      <left/>
      <right/>
      <top style="thin">
        <color rgb="FF2F5597"/>
      </top>
      <bottom/>
      <diagonal/>
    </border>
    <border>
      <left/>
      <right style="thin">
        <color rgb="FF2F5597"/>
      </right>
      <top style="thin">
        <color rgb="FF2F5597"/>
      </top>
      <bottom/>
      <diagonal/>
    </border>
    <border>
      <left style="thin">
        <color rgb="FF2F5597"/>
      </left>
      <right/>
      <top/>
      <bottom/>
      <diagonal/>
    </border>
    <border>
      <left/>
      <right style="thin">
        <color rgb="FF2F5597"/>
      </right>
      <top/>
      <bottom/>
      <diagonal/>
    </border>
    <border>
      <left style="thin">
        <color rgb="FF2F5597"/>
      </left>
      <right/>
      <top/>
      <bottom style="thin">
        <color rgb="FF2F5597"/>
      </bottom>
      <diagonal/>
    </border>
    <border>
      <left/>
      <right/>
      <top/>
      <bottom style="thin">
        <color rgb="FF2F5597"/>
      </bottom>
      <diagonal/>
    </border>
    <border>
      <left/>
      <right/>
      <top/>
      <bottom style="thin">
        <color rgb="FF2F5597"/>
      </bottom>
      <diagonal/>
    </border>
    <border>
      <left/>
      <right/>
      <top/>
      <bottom style="thin">
        <color rgb="FF2F5597"/>
      </bottom>
      <diagonal/>
    </border>
    <border>
      <left/>
      <right/>
      <top/>
      <bottom style="thin">
        <color rgb="FF2F5597"/>
      </bottom>
      <diagonal/>
    </border>
    <border>
      <left/>
      <right style="thin">
        <color rgb="FF2F5597"/>
      </right>
      <top/>
      <bottom style="thin">
        <color rgb="FF2F5597"/>
      </bottom>
      <diagonal/>
    </border>
    <border>
      <left style="thin">
        <color rgb="FF2F5597"/>
      </left>
      <right/>
      <top/>
      <bottom/>
      <diagonal/>
    </border>
    <border>
      <left/>
      <right style="thin">
        <color rgb="FF2F5597"/>
      </right>
      <top/>
      <bottom/>
      <diagonal/>
    </border>
    <border>
      <left style="thin">
        <color rgb="FF2F5597"/>
      </left>
      <right/>
      <top/>
      <bottom style="thin">
        <color rgb="FF2F5597"/>
      </bottom>
      <diagonal/>
    </border>
    <border>
      <left/>
      <right style="thin">
        <color rgb="FF2F5597"/>
      </right>
      <top/>
      <bottom style="thin">
        <color rgb="FF2F5597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2F5597"/>
      </left>
      <right/>
      <top style="thin">
        <color rgb="FF2F5597"/>
      </top>
      <bottom/>
      <diagonal/>
    </border>
    <border>
      <left style="thin">
        <color rgb="FF2F5597"/>
      </left>
      <right/>
      <top/>
      <bottom/>
      <diagonal/>
    </border>
    <border>
      <left style="thin">
        <color rgb="FF2F5597"/>
      </left>
      <right/>
      <top/>
      <bottom style="thin">
        <color rgb="FF2F5597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2F5597"/>
      </right>
      <top style="thin">
        <color rgb="FF2F5597"/>
      </top>
      <bottom/>
      <diagonal/>
    </border>
    <border>
      <left/>
      <right style="thin">
        <color rgb="FF2F5597"/>
      </right>
      <top/>
      <bottom/>
      <diagonal/>
    </border>
    <border>
      <left/>
      <right style="thin">
        <color rgb="FF2F5597"/>
      </right>
      <top/>
      <bottom style="thin">
        <color rgb="FF2F5597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D9D9D9"/>
      </bottom>
      <diagonal/>
    </border>
    <border>
      <left/>
      <right/>
      <top style="thin">
        <color rgb="FFA6A6A6"/>
      </top>
      <bottom style="thin">
        <color rgb="FFD9D9D9"/>
      </bottom>
      <diagonal/>
    </border>
    <border>
      <left/>
      <right style="thin">
        <color rgb="FFA6A6A6"/>
      </right>
      <top style="thin">
        <color rgb="FFA6A6A6"/>
      </top>
      <bottom style="thin">
        <color rgb="FFD9D9D9"/>
      </bottom>
      <diagonal/>
    </border>
  </borders>
  <cellStyleXfs count="1">
    <xf numFmtId="0" fontId="0" fillId="0" borderId="0"/>
  </cellStyleXfs>
  <cellXfs count="18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6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164" fontId="6" fillId="3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7" fillId="5" borderId="1" xfId="0" applyFont="1" applyFill="1" applyBorder="1" applyAlignment="1">
      <alignment vertical="top" wrapText="1"/>
    </xf>
    <xf numFmtId="164" fontId="7" fillId="5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8" xfId="0" applyFont="1" applyBorder="1"/>
    <xf numFmtId="0" fontId="4" fillId="0" borderId="9" xfId="0" applyFont="1" applyBorder="1"/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7" fillId="5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21" fillId="11" borderId="47" xfId="0" applyNumberFormat="1" applyFont="1" applyFill="1" applyBorder="1" applyAlignment="1">
      <alignment horizontal="center" vertical="center" wrapText="1"/>
    </xf>
    <xf numFmtId="0" fontId="21" fillId="11" borderId="48" xfId="0" applyNumberFormat="1" applyFont="1" applyFill="1" applyBorder="1" applyAlignment="1">
      <alignment horizontal="center" vertical="center" wrapText="1"/>
    </xf>
    <xf numFmtId="0" fontId="21" fillId="11" borderId="49" xfId="0" applyNumberFormat="1" applyFont="1" applyFill="1" applyBorder="1" applyAlignment="1">
      <alignment horizontal="center" vertical="center" wrapText="1"/>
    </xf>
    <xf numFmtId="0" fontId="22" fillId="11" borderId="50" xfId="0" applyNumberFormat="1" applyFont="1" applyFill="1" applyBorder="1" applyAlignment="1">
      <alignment horizontal="center" vertical="center" wrapText="1"/>
    </xf>
    <xf numFmtId="0" fontId="22" fillId="11" borderId="59" xfId="0" applyNumberFormat="1" applyFont="1" applyFill="1" applyBorder="1" applyAlignment="1">
      <alignment horizontal="center" vertical="center" wrapText="1"/>
    </xf>
    <xf numFmtId="0" fontId="22" fillId="11" borderId="60" xfId="0" applyNumberFormat="1" applyFont="1" applyFill="1" applyBorder="1" applyAlignment="1">
      <alignment horizontal="center" vertical="center" wrapText="1"/>
    </xf>
    <xf numFmtId="0" fontId="1" fillId="16" borderId="0" xfId="0" applyNumberFormat="1" applyFont="1" applyFill="1" applyBorder="1" applyAlignment="1">
      <alignment horizontal="center" vertical="center" wrapText="1"/>
    </xf>
    <xf numFmtId="0" fontId="1" fillId="17" borderId="0" xfId="0" applyNumberFormat="1" applyFont="1" applyFill="1" applyBorder="1" applyAlignment="1">
      <alignment horizontal="center" vertical="center" wrapText="1"/>
    </xf>
    <xf numFmtId="0" fontId="5" fillId="18" borderId="0" xfId="0" applyNumberFormat="1" applyFont="1" applyFill="1" applyBorder="1" applyAlignment="1">
      <alignment horizontal="center" vertical="center" wrapText="1"/>
    </xf>
    <xf numFmtId="0" fontId="7" fillId="18" borderId="0" xfId="0" applyNumberFormat="1" applyFont="1" applyFill="1" applyBorder="1" applyAlignment="1">
      <alignment horizontal="center" vertical="center" wrapText="1"/>
    </xf>
    <xf numFmtId="0" fontId="3" fillId="7" borderId="2" xfId="0" applyNumberFormat="1" applyFont="1" applyFill="1" applyBorder="1" applyAlignment="1">
      <alignment horizontal="center" vertical="center"/>
    </xf>
    <xf numFmtId="0" fontId="11" fillId="7" borderId="3" xfId="0" applyNumberFormat="1" applyFont="1" applyFill="1" applyBorder="1" applyAlignment="1">
      <alignment horizontal="center" vertical="center"/>
    </xf>
    <xf numFmtId="0" fontId="11" fillId="7" borderId="5" xfId="0" applyNumberFormat="1" applyFont="1" applyFill="1" applyBorder="1" applyAlignment="1">
      <alignment horizontal="center" vertical="center"/>
    </xf>
    <xf numFmtId="0" fontId="11" fillId="7" borderId="6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8" borderId="10" xfId="0" applyNumberFormat="1" applyFont="1" applyFill="1" applyBorder="1" applyAlignment="1">
      <alignment horizontal="center" vertical="center" wrapText="1"/>
    </xf>
    <xf numFmtId="0" fontId="14" fillId="8" borderId="11" xfId="0" applyNumberFormat="1" applyFont="1" applyFill="1" applyBorder="1" applyAlignment="1">
      <alignment horizontal="center" vertical="center" wrapText="1"/>
    </xf>
    <xf numFmtId="0" fontId="14" fillId="8" borderId="12" xfId="0" applyNumberFormat="1" applyFont="1" applyFill="1" applyBorder="1" applyAlignment="1">
      <alignment horizontal="center" vertical="center" wrapText="1"/>
    </xf>
    <xf numFmtId="0" fontId="15" fillId="8" borderId="11" xfId="0" applyNumberFormat="1" applyFont="1" applyFill="1" applyBorder="1" applyAlignment="1">
      <alignment horizontal="center" vertical="center" wrapText="1"/>
    </xf>
    <xf numFmtId="0" fontId="15" fillId="8" borderId="13" xfId="0" applyNumberFormat="1" applyFont="1" applyFill="1" applyBorder="1" applyAlignment="1">
      <alignment horizontal="center" vertical="center" wrapText="1"/>
    </xf>
    <xf numFmtId="0" fontId="14" fillId="8" borderId="14" xfId="0" applyNumberFormat="1" applyFont="1" applyFill="1" applyBorder="1" applyAlignment="1">
      <alignment horizontal="center" vertical="center" wrapText="1"/>
    </xf>
    <xf numFmtId="0" fontId="14" fillId="8" borderId="0" xfId="0" applyNumberFormat="1" applyFont="1" applyFill="1" applyAlignment="1">
      <alignment horizontal="center" vertical="center" wrapText="1"/>
    </xf>
    <xf numFmtId="0" fontId="15" fillId="8" borderId="8" xfId="0" applyNumberFormat="1" applyFont="1" applyFill="1" applyBorder="1" applyAlignment="1">
      <alignment horizontal="center" vertical="center" wrapText="1"/>
    </xf>
    <xf numFmtId="0" fontId="16" fillId="8" borderId="0" xfId="0" applyNumberFormat="1" applyFont="1" applyFill="1" applyAlignment="1">
      <alignment horizontal="center" vertical="center" wrapText="1"/>
    </xf>
    <xf numFmtId="0" fontId="16" fillId="8" borderId="15" xfId="0" applyNumberFormat="1" applyFont="1" applyFill="1" applyBorder="1" applyAlignment="1">
      <alignment horizontal="center" vertical="center" wrapText="1"/>
    </xf>
    <xf numFmtId="0" fontId="14" fillId="8" borderId="16" xfId="0" applyNumberFormat="1" applyFont="1" applyFill="1" applyBorder="1" applyAlignment="1">
      <alignment horizontal="center" vertical="center" wrapText="1"/>
    </xf>
    <xf numFmtId="0" fontId="14" fillId="8" borderId="17" xfId="0" applyNumberFormat="1" applyFont="1" applyFill="1" applyBorder="1" applyAlignment="1">
      <alignment horizontal="center" vertical="center" wrapText="1"/>
    </xf>
    <xf numFmtId="0" fontId="15" fillId="8" borderId="18" xfId="0" applyNumberFormat="1" applyFont="1" applyFill="1" applyBorder="1" applyAlignment="1">
      <alignment horizontal="center" vertical="center" wrapText="1"/>
    </xf>
    <xf numFmtId="0" fontId="15" fillId="8" borderId="17" xfId="0" applyNumberFormat="1" applyFont="1" applyFill="1" applyBorder="1" applyAlignment="1">
      <alignment horizontal="center" vertical="center" wrapText="1"/>
    </xf>
    <xf numFmtId="0" fontId="15" fillId="8" borderId="19" xfId="0" applyNumberFormat="1" applyFont="1" applyFill="1" applyBorder="1" applyAlignment="1">
      <alignment horizontal="center" vertical="center" wrapText="1"/>
    </xf>
    <xf numFmtId="0" fontId="17" fillId="9" borderId="20" xfId="0" applyNumberFormat="1" applyFont="1" applyFill="1" applyBorder="1" applyAlignment="1">
      <alignment horizontal="center" vertical="center" wrapText="1"/>
    </xf>
    <xf numFmtId="0" fontId="18" fillId="9" borderId="21" xfId="0" applyNumberFormat="1" applyFont="1" applyFill="1" applyBorder="1" applyAlignment="1">
      <alignment horizontal="center" vertical="center" wrapText="1"/>
    </xf>
    <xf numFmtId="0" fontId="18" fillId="9" borderId="22" xfId="0" applyNumberFormat="1" applyFont="1" applyFill="1" applyBorder="1" applyAlignment="1">
      <alignment horizontal="center" vertical="center" wrapText="1"/>
    </xf>
    <xf numFmtId="0" fontId="17" fillId="9" borderId="21" xfId="0" applyNumberFormat="1" applyFont="1" applyFill="1" applyBorder="1" applyAlignment="1">
      <alignment horizontal="center" vertical="center" wrapText="1"/>
    </xf>
    <xf numFmtId="0" fontId="17" fillId="9" borderId="23" xfId="0" applyNumberFormat="1" applyFont="1" applyFill="1" applyBorder="1" applyAlignment="1">
      <alignment horizontal="center" vertical="center" wrapText="1"/>
    </xf>
    <xf numFmtId="0" fontId="18" fillId="9" borderId="24" xfId="0" applyNumberFormat="1" applyFont="1" applyFill="1" applyBorder="1" applyAlignment="1">
      <alignment horizontal="center" vertical="center" wrapText="1"/>
    </xf>
    <xf numFmtId="0" fontId="18" fillId="9" borderId="25" xfId="0" applyNumberFormat="1" applyFont="1" applyFill="1" applyBorder="1" applyAlignment="1">
      <alignment horizontal="center" vertical="center" wrapText="1"/>
    </xf>
    <xf numFmtId="0" fontId="18" fillId="9" borderId="6" xfId="0" applyNumberFormat="1" applyFont="1" applyFill="1" applyBorder="1" applyAlignment="1">
      <alignment horizontal="center" vertical="center" wrapText="1"/>
    </xf>
    <xf numFmtId="0" fontId="18" fillId="9" borderId="7" xfId="0" applyNumberFormat="1" applyFont="1" applyFill="1" applyBorder="1" applyAlignment="1">
      <alignment horizontal="center" vertical="center" wrapText="1"/>
    </xf>
    <xf numFmtId="0" fontId="17" fillId="9" borderId="0" xfId="0" applyNumberFormat="1" applyFont="1" applyFill="1" applyAlignment="1">
      <alignment horizontal="center" vertical="center" wrapText="1"/>
    </xf>
    <xf numFmtId="0" fontId="18" fillId="9" borderId="5" xfId="0" applyNumberFormat="1" applyFont="1" applyFill="1" applyBorder="1" applyAlignment="1">
      <alignment horizontal="center" vertical="center" wrapText="1"/>
    </xf>
    <xf numFmtId="0" fontId="18" fillId="9" borderId="26" xfId="0" applyNumberFormat="1" applyFont="1" applyFill="1" applyBorder="1" applyAlignment="1">
      <alignment horizontal="center" vertical="center" wrapText="1"/>
    </xf>
    <xf numFmtId="0" fontId="17" fillId="9" borderId="27" xfId="0" applyNumberFormat="1" applyFont="1" applyFill="1" applyBorder="1" applyAlignment="1">
      <alignment horizontal="center" vertical="center" wrapText="1"/>
    </xf>
    <xf numFmtId="0" fontId="18" fillId="9" borderId="28" xfId="0" applyNumberFormat="1" applyFont="1" applyFill="1" applyBorder="1" applyAlignment="1">
      <alignment horizontal="center" vertical="center" wrapText="1"/>
    </xf>
    <xf numFmtId="0" fontId="18" fillId="9" borderId="29" xfId="0" applyNumberFormat="1" applyFont="1" applyFill="1" applyBorder="1" applyAlignment="1">
      <alignment horizontal="center" vertical="center" wrapText="1"/>
    </xf>
    <xf numFmtId="0" fontId="17" fillId="9" borderId="30" xfId="0" applyNumberFormat="1" applyFont="1" applyFill="1" applyBorder="1" applyAlignment="1">
      <alignment horizontal="center" vertical="center" wrapText="1"/>
    </xf>
    <xf numFmtId="0" fontId="17" fillId="9" borderId="31" xfId="0" applyNumberFormat="1" applyFont="1" applyFill="1" applyBorder="1" applyAlignment="1">
      <alignment horizontal="center" vertical="center" wrapText="1"/>
    </xf>
    <xf numFmtId="0" fontId="18" fillId="9" borderId="32" xfId="0" applyNumberFormat="1" applyFont="1" applyFill="1" applyBorder="1" applyAlignment="1">
      <alignment horizontal="center" vertical="center" wrapText="1"/>
    </xf>
    <xf numFmtId="0" fontId="18" fillId="9" borderId="67" xfId="0" applyNumberFormat="1" applyFont="1" applyFill="1" applyBorder="1" applyAlignment="1">
      <alignment horizontal="center" vertical="center" wrapText="1"/>
    </xf>
    <xf numFmtId="0" fontId="17" fillId="9" borderId="24" xfId="0" applyNumberFormat="1" applyFont="1" applyFill="1" applyBorder="1" applyAlignment="1">
      <alignment horizontal="center" vertical="center" wrapText="1"/>
    </xf>
    <xf numFmtId="0" fontId="18" fillId="9" borderId="68" xfId="0" applyNumberFormat="1" applyFont="1" applyFill="1" applyBorder="1" applyAlignment="1">
      <alignment horizontal="center" vertical="center" wrapText="1"/>
    </xf>
    <xf numFmtId="0" fontId="17" fillId="9" borderId="34" xfId="0" applyNumberFormat="1" applyFont="1" applyFill="1" applyBorder="1" applyAlignment="1">
      <alignment horizontal="center" vertical="center" wrapText="1"/>
    </xf>
    <xf numFmtId="0" fontId="18" fillId="9" borderId="69" xfId="0" applyNumberFormat="1" applyFont="1" applyFill="1" applyBorder="1" applyAlignment="1">
      <alignment horizontal="center" vertical="center" wrapText="1"/>
    </xf>
    <xf numFmtId="0" fontId="17" fillId="9" borderId="36" xfId="0" applyNumberFormat="1" applyFont="1" applyFill="1" applyBorder="1" applyAlignment="1">
      <alignment horizontal="center" vertical="center" wrapText="1"/>
    </xf>
    <xf numFmtId="0" fontId="20" fillId="10" borderId="70" xfId="0" applyNumberFormat="1" applyFont="1" applyFill="1" applyBorder="1" applyAlignment="1">
      <alignment horizontal="center" vertical="center" wrapText="1"/>
    </xf>
    <xf numFmtId="0" fontId="19" fillId="10" borderId="38" xfId="0" applyNumberFormat="1" applyFont="1" applyFill="1" applyBorder="1" applyAlignment="1">
      <alignment horizontal="center" vertical="center" wrapText="1"/>
    </xf>
    <xf numFmtId="0" fontId="19" fillId="10" borderId="40" xfId="0" applyNumberFormat="1" applyFont="1" applyFill="1" applyBorder="1" applyAlignment="1">
      <alignment horizontal="center" vertical="center" wrapText="1"/>
    </xf>
    <xf numFmtId="0" fontId="20" fillId="10" borderId="38" xfId="0" applyNumberFormat="1" applyFont="1" applyFill="1" applyBorder="1" applyAlignment="1">
      <alignment horizontal="center" vertical="center" wrapText="1"/>
    </xf>
    <xf numFmtId="0" fontId="20" fillId="10" borderId="39" xfId="0" applyNumberFormat="1" applyFont="1" applyFill="1" applyBorder="1" applyAlignment="1">
      <alignment horizontal="center" vertical="center" wrapText="1"/>
    </xf>
    <xf numFmtId="0" fontId="19" fillId="10" borderId="41" xfId="0" applyNumberFormat="1" applyFont="1" applyFill="1" applyBorder="1" applyAlignment="1">
      <alignment horizontal="center" vertical="center" wrapText="1"/>
    </xf>
    <xf numFmtId="0" fontId="20" fillId="10" borderId="71" xfId="0" applyNumberFormat="1" applyFont="1" applyFill="1" applyBorder="1" applyAlignment="1">
      <alignment horizontal="center" vertical="center" wrapText="1"/>
    </xf>
    <xf numFmtId="0" fontId="19" fillId="10" borderId="43" xfId="0" applyNumberFormat="1" applyFont="1" applyFill="1" applyBorder="1" applyAlignment="1">
      <alignment horizontal="center" vertical="center" wrapText="1"/>
    </xf>
    <xf numFmtId="0" fontId="20" fillId="10" borderId="45" xfId="0" applyNumberFormat="1" applyFont="1" applyFill="1" applyBorder="1" applyAlignment="1">
      <alignment horizontal="center" vertical="center" wrapText="1"/>
    </xf>
    <xf numFmtId="0" fontId="20" fillId="10" borderId="43" xfId="0" applyNumberFormat="1" applyFont="1" applyFill="1" applyBorder="1" applyAlignment="1">
      <alignment horizontal="center" vertical="center" wrapText="1"/>
    </xf>
    <xf numFmtId="0" fontId="20" fillId="10" borderId="44" xfId="0" applyNumberFormat="1" applyFont="1" applyFill="1" applyBorder="1" applyAlignment="1">
      <alignment horizontal="center" vertical="center" wrapText="1"/>
    </xf>
    <xf numFmtId="0" fontId="19" fillId="10" borderId="46" xfId="0" applyNumberFormat="1" applyFont="1" applyFill="1" applyBorder="1" applyAlignment="1">
      <alignment horizontal="center" vertical="center" wrapText="1"/>
    </xf>
    <xf numFmtId="0" fontId="21" fillId="11" borderId="72" xfId="0" applyNumberFormat="1" applyFont="1" applyFill="1" applyBorder="1" applyAlignment="1">
      <alignment horizontal="center" vertical="center" wrapText="1"/>
    </xf>
    <xf numFmtId="0" fontId="22" fillId="11" borderId="50" xfId="0" applyNumberFormat="1" applyFont="1" applyFill="1" applyBorder="1" applyAlignment="1">
      <alignment horizontal="center" vertical="center" wrapText="1"/>
    </xf>
    <xf numFmtId="0" fontId="21" fillId="11" borderId="51" xfId="0" applyNumberFormat="1" applyFont="1" applyFill="1" applyBorder="1" applyAlignment="1">
      <alignment horizontal="center" vertical="center" wrapText="1"/>
    </xf>
    <xf numFmtId="0" fontId="21" fillId="11" borderId="48" xfId="0" applyNumberFormat="1" applyFont="1" applyFill="1" applyBorder="1" applyAlignment="1">
      <alignment horizontal="center" vertical="center" wrapText="1"/>
    </xf>
    <xf numFmtId="0" fontId="21" fillId="11" borderId="49" xfId="0" applyNumberFormat="1" applyFont="1" applyFill="1" applyBorder="1" applyAlignment="1">
      <alignment horizontal="center" vertical="center" wrapText="1"/>
    </xf>
    <xf numFmtId="0" fontId="22" fillId="11" borderId="60" xfId="0" applyNumberFormat="1" applyFont="1" applyFill="1" applyBorder="1" applyAlignment="1">
      <alignment horizontal="center" vertical="center" wrapText="1"/>
    </xf>
    <xf numFmtId="0" fontId="21" fillId="11" borderId="73" xfId="0" applyNumberFormat="1" applyFont="1" applyFill="1" applyBorder="1" applyAlignment="1">
      <alignment horizontal="center" vertical="center" wrapText="1"/>
    </xf>
    <xf numFmtId="0" fontId="22" fillId="11" borderId="56" xfId="0" applyNumberFormat="1" applyFont="1" applyFill="1" applyBorder="1" applyAlignment="1">
      <alignment horizontal="center" vertical="center" wrapText="1"/>
    </xf>
    <xf numFmtId="0" fontId="22" fillId="11" borderId="57" xfId="0" applyNumberFormat="1" applyFont="1" applyFill="1" applyBorder="1" applyAlignment="1">
      <alignment horizontal="center" vertical="center" wrapText="1"/>
    </xf>
    <xf numFmtId="0" fontId="21" fillId="11" borderId="54" xfId="0" applyNumberFormat="1" applyFont="1" applyFill="1" applyBorder="1" applyAlignment="1">
      <alignment horizontal="center" vertical="center" wrapText="1"/>
    </xf>
    <xf numFmtId="0" fontId="21" fillId="11" borderId="55" xfId="0" applyNumberFormat="1" applyFont="1" applyFill="1" applyBorder="1" applyAlignment="1">
      <alignment horizontal="center" vertical="center" wrapText="1"/>
    </xf>
    <xf numFmtId="0" fontId="22" fillId="11" borderId="62" xfId="0" applyNumberFormat="1" applyFont="1" applyFill="1" applyBorder="1" applyAlignment="1">
      <alignment horizontal="center" vertical="center" wrapText="1"/>
    </xf>
    <xf numFmtId="0" fontId="21" fillId="11" borderId="74" xfId="0" applyNumberFormat="1" applyFont="1" applyFill="1" applyBorder="1" applyAlignment="1">
      <alignment horizontal="center" vertical="center" wrapText="1"/>
    </xf>
    <xf numFmtId="0" fontId="22" fillId="11" borderId="64" xfId="0" applyNumberFormat="1" applyFont="1" applyFill="1" applyBorder="1" applyAlignment="1">
      <alignment horizontal="center" vertical="center" wrapText="1"/>
    </xf>
    <xf numFmtId="0" fontId="21" fillId="11" borderId="50" xfId="0" applyNumberFormat="1" applyFont="1" applyFill="1" applyBorder="1" applyAlignment="1">
      <alignment horizontal="center" vertical="center" wrapText="1"/>
    </xf>
    <xf numFmtId="0" fontId="21" fillId="11" borderId="63" xfId="0" applyNumberFormat="1" applyFont="1" applyFill="1" applyBorder="1" applyAlignment="1">
      <alignment horizontal="center" vertical="center" wrapText="1"/>
    </xf>
    <xf numFmtId="0" fontId="21" fillId="11" borderId="75" xfId="0" applyNumberFormat="1" applyFont="1" applyFill="1" applyBorder="1" applyAlignment="1">
      <alignment horizontal="center" vertical="center" wrapText="1"/>
    </xf>
    <xf numFmtId="0" fontId="21" fillId="11" borderId="66" xfId="0" applyNumberFormat="1" applyFont="1" applyFill="1" applyBorder="1" applyAlignment="1">
      <alignment horizontal="center" vertical="center" wrapText="1"/>
    </xf>
    <xf numFmtId="0" fontId="21" fillId="11" borderId="56" xfId="0" applyNumberFormat="1" applyFont="1" applyFill="1" applyBorder="1" applyAlignment="1">
      <alignment horizontal="center" vertical="center" wrapText="1"/>
    </xf>
    <xf numFmtId="0" fontId="21" fillId="11" borderId="65" xfId="0" applyNumberFormat="1" applyFont="1" applyFill="1" applyBorder="1" applyAlignment="1">
      <alignment horizontal="center" vertical="center" wrapText="1"/>
    </xf>
    <xf numFmtId="0" fontId="19" fillId="10" borderId="37" xfId="0" applyNumberFormat="1" applyFont="1" applyFill="1" applyBorder="1" applyAlignment="1">
      <alignment horizontal="center" vertical="center" wrapText="1"/>
    </xf>
    <xf numFmtId="0" fontId="19" fillId="10" borderId="42" xfId="0" applyNumberFormat="1" applyFont="1" applyFill="1" applyBorder="1" applyAlignment="1">
      <alignment horizontal="center" vertical="center" wrapText="1"/>
    </xf>
    <xf numFmtId="0" fontId="22" fillId="11" borderId="59" xfId="0" applyNumberFormat="1" applyFont="1" applyFill="1" applyBorder="1" applyAlignment="1">
      <alignment horizontal="center" vertical="center" wrapText="1"/>
    </xf>
    <xf numFmtId="0" fontId="22" fillId="11" borderId="61" xfId="0" applyNumberFormat="1" applyFont="1" applyFill="1" applyBorder="1" applyAlignment="1">
      <alignment horizontal="center" vertical="center" wrapText="1"/>
    </xf>
    <xf numFmtId="0" fontId="21" fillId="11" borderId="53" xfId="0" applyNumberFormat="1" applyFont="1" applyFill="1" applyBorder="1" applyAlignment="1">
      <alignment horizontal="center" vertical="center" wrapText="1"/>
    </xf>
    <xf numFmtId="0" fontId="21" fillId="11" borderId="58" xfId="0" applyNumberFormat="1" applyFont="1" applyFill="1" applyBorder="1" applyAlignment="1">
      <alignment horizontal="center" vertical="center" wrapText="1"/>
    </xf>
    <xf numFmtId="0" fontId="18" fillId="9" borderId="20" xfId="0" applyNumberFormat="1" applyFont="1" applyFill="1" applyBorder="1" applyAlignment="1">
      <alignment horizontal="center" vertical="center" wrapText="1"/>
    </xf>
    <xf numFmtId="0" fontId="18" fillId="9" borderId="27" xfId="0" applyNumberFormat="1" applyFont="1" applyFill="1" applyBorder="1" applyAlignment="1">
      <alignment horizontal="center" vertical="center" wrapText="1"/>
    </xf>
    <xf numFmtId="0" fontId="20" fillId="10" borderId="37" xfId="0" applyNumberFormat="1" applyFont="1" applyFill="1" applyBorder="1" applyAlignment="1">
      <alignment horizontal="center" vertical="center" wrapText="1"/>
    </xf>
    <xf numFmtId="0" fontId="20" fillId="10" borderId="41" xfId="0" applyNumberFormat="1" applyFont="1" applyFill="1" applyBorder="1" applyAlignment="1">
      <alignment horizontal="center" vertical="center" wrapText="1"/>
    </xf>
    <xf numFmtId="0" fontId="20" fillId="10" borderId="42" xfId="0" applyNumberFormat="1" applyFont="1" applyFill="1" applyBorder="1" applyAlignment="1">
      <alignment horizontal="center" vertical="center" wrapText="1"/>
    </xf>
    <xf numFmtId="0" fontId="20" fillId="10" borderId="46" xfId="0" applyNumberFormat="1" applyFont="1" applyFill="1" applyBorder="1" applyAlignment="1">
      <alignment horizontal="center" vertical="center" wrapText="1"/>
    </xf>
    <xf numFmtId="0" fontId="21" fillId="11" borderId="47" xfId="0" applyNumberFormat="1" applyFont="1" applyFill="1" applyBorder="1" applyAlignment="1">
      <alignment horizontal="center" vertical="center" wrapText="1"/>
    </xf>
    <xf numFmtId="0" fontId="21" fillId="11" borderId="52" xfId="0" applyNumberFormat="1" applyFont="1" applyFill="1" applyBorder="1" applyAlignment="1">
      <alignment horizontal="center" vertical="center" wrapText="1"/>
    </xf>
    <xf numFmtId="0" fontId="21" fillId="11" borderId="59" xfId="0" applyNumberFormat="1" applyFont="1" applyFill="1" applyBorder="1" applyAlignment="1">
      <alignment horizontal="center" vertical="center" wrapText="1"/>
    </xf>
    <xf numFmtId="0" fontId="21" fillId="11" borderId="60" xfId="0" applyNumberFormat="1" applyFont="1" applyFill="1" applyBorder="1" applyAlignment="1">
      <alignment horizontal="center" vertical="center" wrapText="1"/>
    </xf>
    <xf numFmtId="0" fontId="21" fillId="11" borderId="61" xfId="0" applyNumberFormat="1" applyFont="1" applyFill="1" applyBorder="1" applyAlignment="1">
      <alignment horizontal="center" vertical="center" wrapText="1"/>
    </xf>
    <xf numFmtId="0" fontId="21" fillId="11" borderId="62" xfId="0" applyNumberFormat="1" applyFont="1" applyFill="1" applyBorder="1" applyAlignment="1">
      <alignment horizontal="center" vertical="center" wrapText="1"/>
    </xf>
    <xf numFmtId="0" fontId="17" fillId="9" borderId="76" xfId="0" applyNumberFormat="1" applyFont="1" applyFill="1" applyBorder="1" applyAlignment="1">
      <alignment horizontal="center" vertical="center" wrapText="1"/>
    </xf>
    <xf numFmtId="0" fontId="17" fillId="9" borderId="33" xfId="0" applyNumberFormat="1" applyFont="1" applyFill="1" applyBorder="1" applyAlignment="1">
      <alignment horizontal="center" vertical="center" wrapText="1"/>
    </xf>
    <xf numFmtId="0" fontId="18" fillId="9" borderId="77" xfId="0" applyNumberFormat="1" applyFont="1" applyFill="1" applyBorder="1" applyAlignment="1">
      <alignment horizontal="center" vertical="center" wrapText="1"/>
    </xf>
    <xf numFmtId="0" fontId="17" fillId="9" borderId="35" xfId="0" applyNumberFormat="1" applyFont="1" applyFill="1" applyBorder="1" applyAlignment="1">
      <alignment horizontal="center" vertical="center" wrapText="1"/>
    </xf>
    <xf numFmtId="0" fontId="17" fillId="9" borderId="78" xfId="0" applyNumberFormat="1" applyFont="1" applyFill="1" applyBorder="1" applyAlignment="1">
      <alignment horizontal="center" vertical="center" wrapText="1"/>
    </xf>
    <xf numFmtId="0" fontId="19" fillId="10" borderId="79" xfId="0" applyNumberFormat="1" applyFont="1" applyFill="1" applyBorder="1" applyAlignment="1">
      <alignment horizontal="center" vertical="center" wrapText="1"/>
    </xf>
    <xf numFmtId="0" fontId="20" fillId="10" borderId="80" xfId="0" applyNumberFormat="1" applyFont="1" applyFill="1" applyBorder="1" applyAlignment="1">
      <alignment horizontal="center" vertical="center" wrapText="1"/>
    </xf>
    <xf numFmtId="0" fontId="21" fillId="11" borderId="81" xfId="0" applyNumberFormat="1" applyFont="1" applyFill="1" applyBorder="1" applyAlignment="1">
      <alignment horizontal="center" vertical="center" wrapText="1"/>
    </xf>
    <xf numFmtId="0" fontId="22" fillId="11" borderId="82" xfId="0" applyNumberFormat="1" applyFont="1" applyFill="1" applyBorder="1" applyAlignment="1">
      <alignment horizontal="center" vertical="center" wrapText="1"/>
    </xf>
    <xf numFmtId="0" fontId="22" fillId="11" borderId="83" xfId="0" applyNumberFormat="1" applyFont="1" applyFill="1" applyBorder="1" applyAlignment="1">
      <alignment horizontal="center" vertical="center" wrapText="1"/>
    </xf>
    <xf numFmtId="0" fontId="21" fillId="11" borderId="84" xfId="0" applyNumberFormat="1" applyFont="1" applyFill="1" applyBorder="1" applyAlignment="1">
      <alignment horizontal="center" vertical="center" wrapText="1"/>
    </xf>
    <xf numFmtId="0" fontId="20" fillId="10" borderId="85" xfId="0" applyNumberFormat="1" applyFont="1" applyFill="1" applyBorder="1" applyAlignment="1">
      <alignment horizontal="center" vertical="center" wrapText="1"/>
    </xf>
    <xf numFmtId="0" fontId="20" fillId="10" borderId="86" xfId="0" applyNumberFormat="1" applyFont="1" applyFill="1" applyBorder="1" applyAlignment="1">
      <alignment horizontal="center" vertical="center" wrapText="1"/>
    </xf>
    <xf numFmtId="0" fontId="20" fillId="10" borderId="87" xfId="0" applyNumberFormat="1" applyFont="1" applyFill="1" applyBorder="1" applyAlignment="1">
      <alignment horizontal="center" vertical="center" wrapText="1"/>
    </xf>
    <xf numFmtId="0" fontId="24" fillId="12" borderId="0" xfId="0" applyNumberFormat="1" applyFont="1" applyFill="1" applyBorder="1" applyAlignment="1">
      <alignment horizontal="left" vertical="center" wrapText="1"/>
    </xf>
    <xf numFmtId="0" fontId="19" fillId="13" borderId="37" xfId="0" applyNumberFormat="1" applyFont="1" applyFill="1" applyBorder="1" applyAlignment="1">
      <alignment horizontal="center" vertical="center" wrapText="1"/>
    </xf>
    <xf numFmtId="0" fontId="20" fillId="13" borderId="38" xfId="0" applyNumberFormat="1" applyFont="1" applyFill="1" applyBorder="1" applyAlignment="1">
      <alignment horizontal="center" vertical="center" wrapText="1"/>
    </xf>
    <xf numFmtId="0" fontId="19" fillId="13" borderId="38" xfId="0" applyNumberFormat="1" applyFont="1" applyFill="1" applyBorder="1" applyAlignment="1">
      <alignment horizontal="center" vertical="center" wrapText="1"/>
    </xf>
    <xf numFmtId="0" fontId="20" fillId="13" borderId="41" xfId="0" applyNumberFormat="1" applyFont="1" applyFill="1" applyBorder="1" applyAlignment="1">
      <alignment horizontal="center" vertical="center" wrapText="1"/>
    </xf>
    <xf numFmtId="0" fontId="20" fillId="13" borderId="42" xfId="0" applyNumberFormat="1" applyFont="1" applyFill="1" applyBorder="1" applyAlignment="1">
      <alignment horizontal="center" vertical="center" wrapText="1"/>
    </xf>
    <xf numFmtId="0" fontId="20" fillId="13" borderId="43" xfId="0" applyNumberFormat="1" applyFont="1" applyFill="1" applyBorder="1" applyAlignment="1">
      <alignment horizontal="center" vertical="center" wrapText="1"/>
    </xf>
    <xf numFmtId="0" fontId="19" fillId="13" borderId="43" xfId="0" applyNumberFormat="1" applyFont="1" applyFill="1" applyBorder="1" applyAlignment="1">
      <alignment horizontal="center" vertical="center" wrapText="1"/>
    </xf>
    <xf numFmtId="0" fontId="20" fillId="13" borderId="46" xfId="0" applyNumberFormat="1" applyFont="1" applyFill="1" applyBorder="1" applyAlignment="1">
      <alignment horizontal="center" vertical="center" wrapText="1"/>
    </xf>
    <xf numFmtId="0" fontId="21" fillId="14" borderId="47" xfId="0" applyNumberFormat="1" applyFont="1" applyFill="1" applyBorder="1" applyAlignment="1">
      <alignment horizontal="center" vertical="center" wrapText="1"/>
    </xf>
    <xf numFmtId="0" fontId="21" fillId="14" borderId="48" xfId="0" applyNumberFormat="1" applyFont="1" applyFill="1" applyBorder="1" applyAlignment="1">
      <alignment horizontal="center" vertical="center" wrapText="1"/>
    </xf>
    <xf numFmtId="0" fontId="22" fillId="14" borderId="48" xfId="0" applyNumberFormat="1" applyFont="1" applyFill="1" applyBorder="1" applyAlignment="1">
      <alignment horizontal="center" vertical="center" wrapText="1"/>
    </xf>
    <xf numFmtId="0" fontId="21" fillId="14" borderId="52" xfId="0" applyNumberFormat="1" applyFont="1" applyFill="1" applyBorder="1" applyAlignment="1">
      <alignment horizontal="center" vertical="center" wrapText="1"/>
    </xf>
    <xf numFmtId="0" fontId="22" fillId="14" borderId="53" xfId="0" applyNumberFormat="1" applyFont="1" applyFill="1" applyBorder="1" applyAlignment="1">
      <alignment horizontal="center" vertical="center" wrapText="1"/>
    </xf>
    <xf numFmtId="0" fontId="21" fillId="14" borderId="54" xfId="0" applyNumberFormat="1" applyFont="1" applyFill="1" applyBorder="1" applyAlignment="1">
      <alignment horizontal="center" vertical="center" wrapText="1"/>
    </xf>
    <xf numFmtId="0" fontId="22" fillId="14" borderId="54" xfId="0" applyNumberFormat="1" applyFont="1" applyFill="1" applyBorder="1" applyAlignment="1">
      <alignment horizontal="center" vertical="center" wrapText="1"/>
    </xf>
    <xf numFmtId="0" fontId="21" fillId="14" borderId="58" xfId="0" applyNumberFormat="1" applyFont="1" applyFill="1" applyBorder="1" applyAlignment="1">
      <alignment horizontal="center" vertical="center" wrapText="1"/>
    </xf>
    <xf numFmtId="0" fontId="22" fillId="14" borderId="47" xfId="0" applyNumberFormat="1" applyFont="1" applyFill="1" applyBorder="1" applyAlignment="1">
      <alignment horizontal="center" vertical="center" wrapText="1"/>
    </xf>
    <xf numFmtId="0" fontId="21" fillId="14" borderId="53" xfId="0" applyNumberFormat="1" applyFont="1" applyFill="1" applyBorder="1" applyAlignment="1">
      <alignment horizontal="center" vertical="center" wrapText="1"/>
    </xf>
    <xf numFmtId="0" fontId="19" fillId="13" borderId="88" xfId="0" applyNumberFormat="1" applyFont="1" applyFill="1" applyBorder="1" applyAlignment="1">
      <alignment horizontal="center" vertical="center" wrapText="1"/>
    </xf>
    <xf numFmtId="0" fontId="20" fillId="13" borderId="89" xfId="0" applyNumberFormat="1" applyFont="1" applyFill="1" applyBorder="1" applyAlignment="1">
      <alignment horizontal="center" vertical="center" wrapText="1"/>
    </xf>
    <xf numFmtId="0" fontId="19" fillId="13" borderId="89" xfId="0" applyNumberFormat="1" applyFont="1" applyFill="1" applyBorder="1" applyAlignment="1">
      <alignment horizontal="center" vertical="center" wrapText="1"/>
    </xf>
    <xf numFmtId="0" fontId="19" fillId="13" borderId="90" xfId="0" applyNumberFormat="1" applyFont="1" applyFill="1" applyBorder="1" applyAlignment="1">
      <alignment horizontal="center" vertical="center" wrapText="1"/>
    </xf>
    <xf numFmtId="0" fontId="19" fillId="13" borderId="46" xfId="0" applyNumberFormat="1" applyFont="1" applyFill="1" applyBorder="1" applyAlignment="1">
      <alignment horizontal="center" vertical="center" wrapText="1"/>
    </xf>
    <xf numFmtId="0" fontId="25" fillId="14" borderId="47" xfId="0" applyNumberFormat="1" applyFont="1" applyFill="1" applyBorder="1" applyAlignment="1">
      <alignment horizontal="center" vertical="center" wrapText="1"/>
    </xf>
    <xf numFmtId="0" fontId="25" fillId="14" borderId="48" xfId="0" applyNumberFormat="1" applyFont="1" applyFill="1" applyBorder="1" applyAlignment="1">
      <alignment horizontal="center" vertical="center" wrapText="1"/>
    </xf>
    <xf numFmtId="0" fontId="25" fillId="14" borderId="52" xfId="0" applyNumberFormat="1" applyFont="1" applyFill="1" applyBorder="1" applyAlignment="1">
      <alignment horizontal="center" vertical="center" wrapText="1"/>
    </xf>
    <xf numFmtId="0" fontId="25" fillId="14" borderId="53" xfId="0" applyNumberFormat="1" applyFont="1" applyFill="1" applyBorder="1" applyAlignment="1">
      <alignment horizontal="center" vertical="center" wrapText="1"/>
    </xf>
    <xf numFmtId="0" fontId="25" fillId="14" borderId="54" xfId="0" applyNumberFormat="1" applyFont="1" applyFill="1" applyBorder="1" applyAlignment="1">
      <alignment horizontal="center" vertical="center" wrapText="1"/>
    </xf>
    <xf numFmtId="0" fontId="25" fillId="14" borderId="58" xfId="0" applyNumberFormat="1" applyFont="1" applyFill="1" applyBorder="1" applyAlignment="1">
      <alignment horizontal="center" vertical="center" wrapText="1"/>
    </xf>
    <xf numFmtId="0" fontId="22" fillId="14" borderId="52" xfId="0" applyNumberFormat="1" applyFont="1" applyFill="1" applyBorder="1" applyAlignment="1">
      <alignment horizontal="center" vertical="center" wrapText="1"/>
    </xf>
    <xf numFmtId="0" fontId="23" fillId="14" borderId="53" xfId="0" applyNumberFormat="1" applyFont="1" applyFill="1" applyBorder="1" applyAlignment="1">
      <alignment horizontal="center" vertical="center" wrapText="1"/>
    </xf>
    <xf numFmtId="0" fontId="22" fillId="14" borderId="58" xfId="0" applyNumberFormat="1" applyFont="1" applyFill="1" applyBorder="1" applyAlignment="1">
      <alignment horizontal="center" vertical="center" wrapText="1"/>
    </xf>
    <xf numFmtId="0" fontId="19" fillId="13" borderId="42" xfId="0" applyNumberFormat="1" applyFont="1" applyFill="1" applyBorder="1" applyAlignment="1">
      <alignment horizontal="center" vertical="center" wrapText="1"/>
    </xf>
    <xf numFmtId="0" fontId="2" fillId="15" borderId="0" xfId="0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2" fillId="2" borderId="2" xfId="0" applyFont="1" applyFill="1" applyBorder="1" applyAlignment="1">
      <alignment horizontal="center" vertical="center"/>
    </xf>
    <xf numFmtId="0" fontId="4" fillId="0" borderId="5" xfId="0" applyFont="1" applyBorder="1"/>
  </cellXfs>
  <cellStyles count="1">
    <cellStyle name="Normal" xfId="0" builtinId="0"/>
  </cellStyles>
  <dxfs count="10">
    <dxf>
      <fill>
        <patternFill>
          <bgColor rgb="FFFBE2E2"/>
        </patternFill>
      </fill>
    </dxf>
    <dxf>
      <fill>
        <patternFill>
          <bgColor rgb="FFE4EDF9"/>
        </patternFill>
      </fill>
    </dxf>
    <dxf>
      <fill>
        <patternFill>
          <bgColor rgb="FFDFF0E3"/>
        </patternFill>
      </fill>
    </dxf>
    <dxf>
      <fill>
        <patternFill>
          <bgColor rgb="FFFBE2E2"/>
        </patternFill>
      </fill>
    </dxf>
    <dxf>
      <fill>
        <patternFill>
          <bgColor rgb="FFE4EDF9"/>
        </patternFill>
      </fill>
    </dxf>
    <dxf>
      <fill>
        <patternFill>
          <bgColor rgb="FFDFF0E3"/>
        </patternFill>
      </fill>
    </dxf>
    <dxf>
      <fill>
        <patternFill>
          <bgColor rgb="FFFBE2E2"/>
        </patternFill>
      </fill>
    </dxf>
    <dxf>
      <fill>
        <patternFill>
          <bgColor rgb="FFE4EDF9"/>
        </patternFill>
      </fill>
    </dxf>
    <dxf>
      <fill>
        <patternFill>
          <bgColor rgb="FFDFF0E3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US"/>
              <a:t>Estado de paquetes de trabajo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Control!$D$5:$D$8</c:f>
              <c:strCache>
                <c:ptCount val="4"/>
                <c:pt idx="0">
                  <c:v>Planificado</c:v>
                </c:pt>
                <c:pt idx="1">
                  <c:v>En curso</c:v>
                </c:pt>
                <c:pt idx="2">
                  <c:v>Completado</c:v>
                </c:pt>
                <c:pt idx="3">
                  <c:v>Bloqueado</c:v>
                </c:pt>
              </c:strCache>
            </c:strRef>
          </c:cat>
          <c:val>
            <c:numRef>
              <c:f>Control!$E$5:$E$8</c:f>
              <c:numCache>
                <c:formatCode>General</c:formatCode>
                <c:ptCount val="4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1-492C-AF9E-B7A1D935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tabSelected="1" workbookViewId="0">
      <selection sqref="A1:AO2"/>
    </sheetView>
  </sheetViews>
  <sheetFormatPr baseColWidth="10" defaultColWidth="12.59765625" defaultRowHeight="13.8"/>
  <cols>
    <col min="1" max="7" width="5.19921875" customWidth="1"/>
    <col min="8" max="8" width="1.3984375" customWidth="1"/>
    <col min="9" max="15" width="5.19921875" customWidth="1"/>
    <col min="16" max="16" width="1.3984375" customWidth="1"/>
    <col min="17" max="23" width="5.19921875" customWidth="1"/>
    <col min="24" max="24" width="1.3984375" customWidth="1"/>
    <col min="25" max="31" width="5.19921875" customWidth="1"/>
    <col min="32" max="32" width="1.3984375" customWidth="1"/>
    <col min="33" max="41" width="5.19921875" customWidth="1"/>
    <col min="42" max="44" width="5.3984375" customWidth="1"/>
  </cols>
  <sheetData>
    <row r="1" spans="1:44" ht="19.2" customHeight="1">
      <c r="A1" s="34" t="s">
        <v>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2"/>
      <c r="AQ1" s="2"/>
      <c r="AR1" s="3"/>
    </row>
    <row r="2" spans="1:44" ht="19.2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6"/>
      <c r="AQ2" s="6"/>
      <c r="AR2" s="7"/>
    </row>
    <row r="3" spans="1:44" ht="16.05" customHeight="1">
      <c r="A3" s="38" t="s">
        <v>36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</row>
    <row r="4" spans="1:44" ht="16.0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ht="19.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0" t="s">
        <v>37</v>
      </c>
      <c r="L5" s="41"/>
      <c r="M5" s="42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  <c r="AF5" s="3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 ht="19.2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5"/>
      <c r="L6" s="46"/>
      <c r="M6" s="47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9"/>
      <c r="AF6" s="17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 ht="19.2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0"/>
      <c r="L7" s="51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/>
      <c r="AF7" s="7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ht="16.0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ht="19.2" customHeight="1">
      <c r="A9" s="55" t="s">
        <v>38</v>
      </c>
      <c r="B9" s="56"/>
      <c r="C9" s="56"/>
      <c r="D9" s="57"/>
      <c r="E9" s="58"/>
      <c r="F9" s="59"/>
      <c r="G9" s="60"/>
      <c r="H9" s="2"/>
      <c r="I9" s="73" t="s">
        <v>39</v>
      </c>
      <c r="J9" s="58"/>
      <c r="K9" s="59"/>
      <c r="L9" s="56"/>
      <c r="M9" s="56"/>
      <c r="N9" s="57"/>
      <c r="O9" s="74"/>
      <c r="P9" s="18"/>
      <c r="Q9" s="117" t="s">
        <v>40</v>
      </c>
      <c r="R9" s="56"/>
      <c r="S9" s="57"/>
      <c r="T9" s="58"/>
      <c r="U9" s="59"/>
      <c r="V9" s="56"/>
      <c r="W9" s="60"/>
      <c r="X9" s="3"/>
      <c r="Y9" s="55" t="s">
        <v>41</v>
      </c>
      <c r="Z9" s="59"/>
      <c r="AA9" s="56"/>
      <c r="AB9" s="56"/>
      <c r="AC9" s="57"/>
      <c r="AD9" s="58"/>
      <c r="AE9" s="129"/>
      <c r="AF9" s="2"/>
      <c r="AG9" s="117" t="s">
        <v>42</v>
      </c>
      <c r="AH9" s="57"/>
      <c r="AI9" s="58"/>
      <c r="AJ9" s="59"/>
      <c r="AK9" s="56"/>
      <c r="AL9" s="56"/>
      <c r="AM9" s="57"/>
      <c r="AN9" s="58"/>
      <c r="AO9" s="129"/>
      <c r="AP9" s="2"/>
      <c r="AQ9" s="2"/>
      <c r="AR9" s="3"/>
    </row>
    <row r="10" spans="1:44" ht="19.2" customHeight="1">
      <c r="A10" s="61"/>
      <c r="B10" s="62"/>
      <c r="C10" s="62"/>
      <c r="D10" s="63"/>
      <c r="E10" s="64"/>
      <c r="F10" s="65"/>
      <c r="G10" s="66"/>
      <c r="H10" s="6"/>
      <c r="I10" s="75"/>
      <c r="J10" s="64"/>
      <c r="K10" s="65"/>
      <c r="L10" s="62"/>
      <c r="M10" s="62"/>
      <c r="N10" s="63"/>
      <c r="O10" s="76"/>
      <c r="P10" s="5"/>
      <c r="Q10" s="61"/>
      <c r="R10" s="62"/>
      <c r="S10" s="63"/>
      <c r="T10" s="64"/>
      <c r="U10" s="65"/>
      <c r="V10" s="62"/>
      <c r="W10" s="66"/>
      <c r="X10" s="7"/>
      <c r="Y10" s="130"/>
      <c r="Z10" s="65"/>
      <c r="AA10" s="62"/>
      <c r="AB10" s="62"/>
      <c r="AC10" s="63"/>
      <c r="AD10" s="64"/>
      <c r="AE10" s="131"/>
      <c r="AF10" s="6"/>
      <c r="AG10" s="61"/>
      <c r="AH10" s="63"/>
      <c r="AI10" s="64"/>
      <c r="AJ10" s="65"/>
      <c r="AK10" s="62"/>
      <c r="AL10" s="62"/>
      <c r="AM10" s="63"/>
      <c r="AN10" s="64"/>
      <c r="AO10" s="131"/>
      <c r="AP10" s="6"/>
      <c r="AQ10" s="6"/>
      <c r="AR10" s="7"/>
    </row>
    <row r="11" spans="1:44" ht="19.2" customHeight="1">
      <c r="A11" s="67"/>
      <c r="B11" s="68"/>
      <c r="C11" s="68"/>
      <c r="D11" s="69"/>
      <c r="E11" s="70"/>
      <c r="F11" s="71"/>
      <c r="G11" s="72"/>
      <c r="H11" s="2"/>
      <c r="I11" s="77"/>
      <c r="J11" s="70"/>
      <c r="K11" s="71"/>
      <c r="L11" s="68"/>
      <c r="M11" s="68"/>
      <c r="N11" s="69"/>
      <c r="O11" s="78"/>
      <c r="P11" s="19"/>
      <c r="Q11" s="118"/>
      <c r="R11" s="68"/>
      <c r="S11" s="69"/>
      <c r="T11" s="70"/>
      <c r="U11" s="71"/>
      <c r="V11" s="68"/>
      <c r="W11" s="72"/>
      <c r="X11" s="3"/>
      <c r="Y11" s="132"/>
      <c r="Z11" s="71"/>
      <c r="AA11" s="68"/>
      <c r="AB11" s="68"/>
      <c r="AC11" s="69"/>
      <c r="AD11" s="70"/>
      <c r="AE11" s="133"/>
      <c r="AF11" s="2"/>
      <c r="AG11" s="118"/>
      <c r="AH11" s="69"/>
      <c r="AI11" s="70"/>
      <c r="AJ11" s="71"/>
      <c r="AK11" s="68"/>
      <c r="AL11" s="68"/>
      <c r="AM11" s="69"/>
      <c r="AN11" s="70"/>
      <c r="AO11" s="133"/>
      <c r="AP11" s="2"/>
      <c r="AQ11" s="2"/>
      <c r="AR11" s="3"/>
    </row>
    <row r="12" spans="1:44" ht="16.05" customHeight="1">
      <c r="A12" s="5"/>
      <c r="B12" s="6"/>
      <c r="C12" s="6"/>
      <c r="D12" s="7"/>
      <c r="E12" s="4"/>
      <c r="F12" s="5"/>
      <c r="G12" s="6"/>
      <c r="H12" s="6"/>
      <c r="I12" s="7"/>
      <c r="J12" s="4"/>
      <c r="K12" s="5"/>
      <c r="L12" s="6"/>
      <c r="M12" s="6"/>
      <c r="N12" s="7"/>
      <c r="O12" s="4"/>
      <c r="P12" s="5"/>
      <c r="Q12" s="6"/>
      <c r="R12" s="6"/>
      <c r="S12" s="7"/>
      <c r="T12" s="4"/>
      <c r="U12" s="5"/>
      <c r="V12" s="6"/>
      <c r="W12" s="6"/>
      <c r="X12" s="7"/>
      <c r="Y12" s="4"/>
      <c r="Z12" s="5"/>
      <c r="AA12" s="6"/>
      <c r="AB12" s="6"/>
      <c r="AC12" s="7"/>
      <c r="AD12" s="4"/>
      <c r="AE12" s="5"/>
      <c r="AF12" s="6"/>
      <c r="AG12" s="6"/>
      <c r="AH12" s="7"/>
      <c r="AI12" s="4"/>
      <c r="AJ12" s="5"/>
      <c r="AK12" s="6"/>
      <c r="AL12" s="6"/>
      <c r="AM12" s="7"/>
      <c r="AN12" s="4"/>
      <c r="AO12" s="5"/>
      <c r="AP12" s="6"/>
      <c r="AQ12" s="6"/>
      <c r="AR12" s="7"/>
    </row>
    <row r="13" spans="1:44" ht="16.05" customHeight="1">
      <c r="A13" s="144" t="s">
        <v>43</v>
      </c>
      <c r="B13" s="145"/>
      <c r="C13" s="145"/>
      <c r="D13" s="145"/>
      <c r="E13" s="146"/>
      <c r="F13" s="146"/>
      <c r="G13" s="147"/>
      <c r="H13" s="2"/>
      <c r="I13" s="79" t="s">
        <v>44</v>
      </c>
      <c r="J13" s="80"/>
      <c r="K13" s="81"/>
      <c r="L13" s="82"/>
      <c r="M13" s="82"/>
      <c r="N13" s="83"/>
      <c r="O13" s="84"/>
      <c r="P13" s="19"/>
      <c r="Q13" s="119" t="s">
        <v>45</v>
      </c>
      <c r="R13" s="82"/>
      <c r="S13" s="83"/>
      <c r="T13" s="80"/>
      <c r="U13" s="81"/>
      <c r="V13" s="82"/>
      <c r="W13" s="120"/>
      <c r="X13" s="3"/>
      <c r="Y13" s="111" t="s">
        <v>46</v>
      </c>
      <c r="Z13" s="81"/>
      <c r="AA13" s="82"/>
      <c r="AB13" s="82"/>
      <c r="AC13" s="83"/>
      <c r="AD13" s="80"/>
      <c r="AE13" s="134"/>
      <c r="AF13" s="2"/>
      <c r="AG13" s="119" t="s">
        <v>47</v>
      </c>
      <c r="AH13" s="83"/>
      <c r="AI13" s="80"/>
      <c r="AJ13" s="81"/>
      <c r="AK13" s="82"/>
      <c r="AL13" s="82"/>
      <c r="AM13" s="83"/>
      <c r="AN13" s="80"/>
      <c r="AO13" s="134"/>
      <c r="AP13" s="2"/>
      <c r="AQ13" s="2"/>
      <c r="AR13" s="3"/>
    </row>
    <row r="14" spans="1:44" ht="16.05" customHeight="1">
      <c r="A14" s="148"/>
      <c r="B14" s="149"/>
      <c r="C14" s="149"/>
      <c r="D14" s="149"/>
      <c r="E14" s="150"/>
      <c r="F14" s="149"/>
      <c r="G14" s="151"/>
      <c r="H14" s="6"/>
      <c r="I14" s="85"/>
      <c r="J14" s="86"/>
      <c r="K14" s="87"/>
      <c r="L14" s="88"/>
      <c r="M14" s="88"/>
      <c r="N14" s="89"/>
      <c r="O14" s="90"/>
      <c r="P14" s="5"/>
      <c r="Q14" s="121"/>
      <c r="R14" s="88"/>
      <c r="S14" s="89"/>
      <c r="T14" s="86"/>
      <c r="U14" s="87"/>
      <c r="V14" s="88"/>
      <c r="W14" s="122"/>
      <c r="X14" s="7"/>
      <c r="Y14" s="112"/>
      <c r="Z14" s="87"/>
      <c r="AA14" s="88"/>
      <c r="AB14" s="88"/>
      <c r="AC14" s="89"/>
      <c r="AD14" s="86"/>
      <c r="AE14" s="135"/>
      <c r="AF14" s="6"/>
      <c r="AG14" s="121"/>
      <c r="AH14" s="89"/>
      <c r="AI14" s="86"/>
      <c r="AJ14" s="87"/>
      <c r="AK14" s="88"/>
      <c r="AL14" s="88"/>
      <c r="AM14" s="89"/>
      <c r="AN14" s="86"/>
      <c r="AO14" s="135"/>
      <c r="AP14" s="6"/>
      <c r="AQ14" s="6"/>
      <c r="AR14" s="7"/>
    </row>
    <row r="15" spans="1:44" ht="16.05" customHeight="1">
      <c r="A15" s="19"/>
      <c r="B15" s="2"/>
      <c r="C15" s="2"/>
      <c r="D15" s="3"/>
      <c r="E15" s="4"/>
      <c r="F15" s="19"/>
      <c r="G15" s="2"/>
      <c r="H15" s="2"/>
      <c r="I15" s="3"/>
      <c r="J15" s="4"/>
      <c r="K15" s="19"/>
      <c r="L15" s="2"/>
      <c r="M15" s="2"/>
      <c r="N15" s="3"/>
      <c r="O15" s="4"/>
      <c r="P15" s="19"/>
      <c r="Q15" s="2"/>
      <c r="R15" s="2"/>
      <c r="S15" s="3"/>
      <c r="T15" s="4"/>
      <c r="U15" s="19"/>
      <c r="V15" s="2"/>
      <c r="W15" s="2"/>
      <c r="X15" s="3"/>
      <c r="Y15" s="4"/>
      <c r="Z15" s="19"/>
      <c r="AA15" s="2"/>
      <c r="AB15" s="2"/>
      <c r="AC15" s="3"/>
      <c r="AD15" s="4"/>
      <c r="AE15" s="19"/>
      <c r="AF15" s="2"/>
      <c r="AG15" s="2"/>
      <c r="AH15" s="3"/>
      <c r="AI15" s="4"/>
      <c r="AJ15" s="19"/>
      <c r="AK15" s="2"/>
      <c r="AL15" s="2"/>
      <c r="AM15" s="3"/>
      <c r="AN15" s="4"/>
      <c r="AO15" s="19"/>
      <c r="AP15" s="2"/>
      <c r="AQ15" s="2"/>
      <c r="AR15" s="3"/>
    </row>
    <row r="16" spans="1:44" ht="16.05" customHeight="1">
      <c r="A16" s="152" t="s">
        <v>48</v>
      </c>
      <c r="B16" s="153"/>
      <c r="C16" s="153"/>
      <c r="D16" s="153"/>
      <c r="E16" s="154"/>
      <c r="F16" s="153"/>
      <c r="G16" s="155"/>
      <c r="H16" s="6"/>
      <c r="I16" s="91" t="s">
        <v>49</v>
      </c>
      <c r="J16" s="92"/>
      <c r="K16" s="93"/>
      <c r="L16" s="94"/>
      <c r="M16" s="94"/>
      <c r="N16" s="95"/>
      <c r="O16" s="96"/>
      <c r="P16" s="5"/>
      <c r="Q16" s="123" t="s">
        <v>50</v>
      </c>
      <c r="R16" s="94"/>
      <c r="S16" s="95"/>
      <c r="T16" s="92"/>
      <c r="U16" s="93"/>
      <c r="V16" s="94"/>
      <c r="W16" s="124"/>
      <c r="X16" s="7"/>
      <c r="Y16" s="113" t="s">
        <v>51</v>
      </c>
      <c r="Z16" s="93"/>
      <c r="AA16" s="94"/>
      <c r="AB16" s="94"/>
      <c r="AC16" s="95"/>
      <c r="AD16" s="92"/>
      <c r="AE16" s="136"/>
      <c r="AF16" s="6"/>
      <c r="AG16" s="123" t="s">
        <v>52</v>
      </c>
      <c r="AH16" s="95"/>
      <c r="AI16" s="92"/>
      <c r="AJ16" s="93"/>
      <c r="AK16" s="94"/>
      <c r="AL16" s="94"/>
      <c r="AM16" s="95"/>
      <c r="AN16" s="92"/>
      <c r="AO16" s="136"/>
      <c r="AP16" s="6"/>
      <c r="AQ16" s="6"/>
      <c r="AR16" s="7"/>
    </row>
    <row r="17" spans="1:44" ht="16.05" customHeight="1">
      <c r="A17" s="156"/>
      <c r="B17" s="157"/>
      <c r="C17" s="157"/>
      <c r="D17" s="157"/>
      <c r="E17" s="158"/>
      <c r="F17" s="158"/>
      <c r="G17" s="159"/>
      <c r="H17" s="2"/>
      <c r="I17" s="97"/>
      <c r="J17" s="98"/>
      <c r="K17" s="99"/>
      <c r="L17" s="100"/>
      <c r="M17" s="100"/>
      <c r="N17" s="101"/>
      <c r="O17" s="102"/>
      <c r="P17" s="19"/>
      <c r="Q17" s="115"/>
      <c r="R17" s="100"/>
      <c r="S17" s="101"/>
      <c r="T17" s="98"/>
      <c r="U17" s="99"/>
      <c r="V17" s="100"/>
      <c r="W17" s="116"/>
      <c r="X17" s="3"/>
      <c r="Y17" s="114"/>
      <c r="Z17" s="99"/>
      <c r="AA17" s="100"/>
      <c r="AB17" s="100"/>
      <c r="AC17" s="101"/>
      <c r="AD17" s="98"/>
      <c r="AE17" s="137"/>
      <c r="AF17" s="2"/>
      <c r="AG17" s="115"/>
      <c r="AH17" s="101"/>
      <c r="AI17" s="98"/>
      <c r="AJ17" s="99"/>
      <c r="AK17" s="100"/>
      <c r="AL17" s="100"/>
      <c r="AM17" s="101"/>
      <c r="AN17" s="98"/>
      <c r="AO17" s="137"/>
      <c r="AP17" s="2"/>
      <c r="AQ17" s="2"/>
      <c r="AR17" s="3"/>
    </row>
    <row r="18" spans="1:44" ht="16.05" customHeight="1">
      <c r="A18" s="5"/>
      <c r="B18" s="6"/>
      <c r="C18" s="6"/>
      <c r="D18" s="7"/>
      <c r="E18" s="4"/>
      <c r="F18" s="5"/>
      <c r="G18" s="6"/>
      <c r="H18" s="6"/>
      <c r="I18" s="7"/>
      <c r="J18" s="4"/>
      <c r="K18" s="5"/>
      <c r="L18" s="6"/>
      <c r="M18" s="6"/>
      <c r="N18" s="7"/>
      <c r="O18" s="4"/>
      <c r="P18" s="5"/>
      <c r="Q18" s="6"/>
      <c r="R18" s="6"/>
      <c r="S18" s="7"/>
      <c r="T18" s="4"/>
      <c r="U18" s="5"/>
      <c r="V18" s="6"/>
      <c r="W18" s="6"/>
      <c r="X18" s="7"/>
      <c r="Y18" s="4"/>
      <c r="Z18" s="5"/>
      <c r="AA18" s="6"/>
      <c r="AB18" s="6"/>
      <c r="AC18" s="7"/>
      <c r="AD18" s="4"/>
      <c r="AE18" s="5"/>
      <c r="AF18" s="6"/>
      <c r="AG18" s="6"/>
      <c r="AH18" s="7"/>
      <c r="AI18" s="4"/>
      <c r="AJ18" s="5"/>
      <c r="AK18" s="6"/>
      <c r="AL18" s="6"/>
      <c r="AM18" s="7"/>
      <c r="AN18" s="4"/>
      <c r="AO18" s="5"/>
      <c r="AP18" s="6"/>
      <c r="AQ18" s="6"/>
      <c r="AR18" s="7"/>
    </row>
    <row r="19" spans="1:44" ht="16.05" customHeight="1">
      <c r="A19" s="160" t="s">
        <v>53</v>
      </c>
      <c r="B19" s="153"/>
      <c r="C19" s="153"/>
      <c r="D19" s="153"/>
      <c r="E19" s="154"/>
      <c r="F19" s="154"/>
      <c r="G19" s="155"/>
      <c r="H19" s="2"/>
      <c r="I19" s="103" t="s">
        <v>54</v>
      </c>
      <c r="J19" s="92"/>
      <c r="K19" s="104"/>
      <c r="L19" s="105"/>
      <c r="M19" s="105"/>
      <c r="N19" s="106"/>
      <c r="O19" s="96"/>
      <c r="P19" s="19"/>
      <c r="Q19" s="125" t="s">
        <v>55</v>
      </c>
      <c r="R19" s="105"/>
      <c r="S19" s="106"/>
      <c r="T19" s="92"/>
      <c r="U19" s="104"/>
      <c r="V19" s="105"/>
      <c r="W19" s="126"/>
      <c r="X19" s="3"/>
      <c r="Y19" s="113" t="s">
        <v>56</v>
      </c>
      <c r="Z19" s="104"/>
      <c r="AA19" s="105"/>
      <c r="AB19" s="105"/>
      <c r="AC19" s="106"/>
      <c r="AD19" s="92"/>
      <c r="AE19" s="138"/>
      <c r="AF19" s="2"/>
      <c r="AG19" s="125" t="s">
        <v>57</v>
      </c>
      <c r="AH19" s="106"/>
      <c r="AI19" s="92"/>
      <c r="AJ19" s="104"/>
      <c r="AK19" s="105"/>
      <c r="AL19" s="105"/>
      <c r="AM19" s="106"/>
      <c r="AN19" s="92"/>
      <c r="AO19" s="138"/>
      <c r="AP19" s="2"/>
      <c r="AQ19" s="2"/>
      <c r="AR19" s="3"/>
    </row>
    <row r="20" spans="1:44" ht="16.05" customHeight="1">
      <c r="A20" s="161"/>
      <c r="B20" s="157"/>
      <c r="C20" s="157"/>
      <c r="D20" s="157"/>
      <c r="E20" s="158"/>
      <c r="F20" s="157"/>
      <c r="G20" s="159"/>
      <c r="H20" s="6"/>
      <c r="I20" s="107"/>
      <c r="J20" s="98"/>
      <c r="K20" s="108"/>
      <c r="L20" s="109"/>
      <c r="M20" s="109"/>
      <c r="N20" s="110"/>
      <c r="O20" s="102"/>
      <c r="P20" s="5"/>
      <c r="Q20" s="127"/>
      <c r="R20" s="109"/>
      <c r="S20" s="110"/>
      <c r="T20" s="98"/>
      <c r="U20" s="108"/>
      <c r="V20" s="109"/>
      <c r="W20" s="128"/>
      <c r="X20" s="7"/>
      <c r="Y20" s="114"/>
      <c r="Z20" s="108"/>
      <c r="AA20" s="109"/>
      <c r="AB20" s="109"/>
      <c r="AC20" s="110"/>
      <c r="AD20" s="98"/>
      <c r="AE20" s="139"/>
      <c r="AF20" s="6"/>
      <c r="AG20" s="127"/>
      <c r="AH20" s="110"/>
      <c r="AI20" s="98"/>
      <c r="AJ20" s="108"/>
      <c r="AK20" s="109"/>
      <c r="AL20" s="109"/>
      <c r="AM20" s="110"/>
      <c r="AN20" s="98"/>
      <c r="AO20" s="139"/>
      <c r="AP20" s="6"/>
      <c r="AQ20" s="6"/>
      <c r="AR20" s="7"/>
    </row>
    <row r="21" spans="1:44" ht="16.05" customHeight="1">
      <c r="A21" s="19"/>
      <c r="B21" s="2"/>
      <c r="C21" s="2"/>
      <c r="D21" s="3"/>
      <c r="E21" s="4"/>
      <c r="F21" s="4"/>
      <c r="G21" s="4"/>
      <c r="H21" s="4"/>
      <c r="I21" s="4"/>
      <c r="J21" s="4"/>
      <c r="K21" s="19"/>
      <c r="L21" s="2"/>
      <c r="M21" s="2"/>
      <c r="N21" s="3"/>
      <c r="O21" s="4"/>
      <c r="P21" s="19"/>
      <c r="Q21" s="2"/>
      <c r="R21" s="2"/>
      <c r="S21" s="3"/>
      <c r="T21" s="4"/>
      <c r="U21" s="19"/>
      <c r="V21" s="2"/>
      <c r="W21" s="2"/>
      <c r="X21" s="3"/>
      <c r="Y21" s="4"/>
      <c r="Z21" s="19"/>
      <c r="AA21" s="2"/>
      <c r="AB21" s="2"/>
      <c r="AC21" s="3"/>
      <c r="AD21" s="4"/>
      <c r="AE21" s="19"/>
      <c r="AF21" s="2"/>
      <c r="AG21" s="2"/>
      <c r="AH21" s="3"/>
      <c r="AI21" s="4"/>
      <c r="AJ21" s="19"/>
      <c r="AK21" s="2"/>
      <c r="AL21" s="2"/>
      <c r="AM21" s="3"/>
      <c r="AN21" s="4"/>
      <c r="AO21" s="19"/>
      <c r="AP21" s="2"/>
      <c r="AQ21" s="2"/>
      <c r="AR21" s="3"/>
    </row>
    <row r="22" spans="1:44" ht="16.05" customHeight="1">
      <c r="A22" s="24"/>
      <c r="B22" s="25"/>
      <c r="C22" s="25"/>
      <c r="D22" s="26"/>
      <c r="E22" s="27"/>
      <c r="F22" s="27"/>
      <c r="G22" s="29"/>
      <c r="H22" s="4"/>
      <c r="I22" s="4"/>
      <c r="J22" s="4"/>
      <c r="K22" s="5"/>
      <c r="L22" s="6"/>
      <c r="M22" s="6"/>
      <c r="N22" s="7"/>
      <c r="O22" s="4"/>
      <c r="P22" s="5"/>
      <c r="Q22" s="123" t="s">
        <v>58</v>
      </c>
      <c r="R22" s="94"/>
      <c r="S22" s="95"/>
      <c r="T22" s="92"/>
      <c r="U22" s="93"/>
      <c r="V22" s="94"/>
      <c r="W22" s="124"/>
      <c r="X22" s="7"/>
      <c r="Y22" s="113" t="s">
        <v>59</v>
      </c>
      <c r="Z22" s="93"/>
      <c r="AA22" s="94"/>
      <c r="AB22" s="94"/>
      <c r="AC22" s="95"/>
      <c r="AD22" s="92"/>
      <c r="AE22" s="136"/>
      <c r="AF22" s="6"/>
      <c r="AG22" s="6"/>
      <c r="AH22" s="7"/>
      <c r="AI22" s="4"/>
      <c r="AJ22" s="5"/>
      <c r="AK22" s="6"/>
      <c r="AL22" s="6"/>
      <c r="AM22" s="7"/>
      <c r="AN22" s="4"/>
      <c r="AO22" s="5"/>
      <c r="AP22" s="6"/>
      <c r="AQ22" s="6"/>
      <c r="AR22" s="7"/>
    </row>
    <row r="23" spans="1:44" ht="16.05" customHeight="1">
      <c r="A23" s="162" t="s">
        <v>60</v>
      </c>
      <c r="B23" s="163"/>
      <c r="C23" s="163"/>
      <c r="D23" s="163"/>
      <c r="E23" s="164"/>
      <c r="F23" s="164"/>
      <c r="G23" s="165"/>
      <c r="H23" s="4"/>
      <c r="I23" s="111" t="s">
        <v>61</v>
      </c>
      <c r="J23" s="80"/>
      <c r="K23" s="81"/>
      <c r="L23" s="82"/>
      <c r="M23" s="82"/>
      <c r="N23" s="83"/>
      <c r="O23" s="84"/>
      <c r="P23" s="4"/>
      <c r="Q23" s="114"/>
      <c r="R23" s="98"/>
      <c r="S23" s="98"/>
      <c r="T23" s="98"/>
      <c r="U23" s="99"/>
      <c r="V23" s="100"/>
      <c r="W23" s="116"/>
      <c r="X23" s="3"/>
      <c r="Y23" s="114"/>
      <c r="Z23" s="99"/>
      <c r="AA23" s="100"/>
      <c r="AB23" s="100"/>
      <c r="AC23" s="101"/>
      <c r="AD23" s="98"/>
      <c r="AE23" s="137"/>
      <c r="AF23" s="2"/>
      <c r="AG23" s="119" t="s">
        <v>62</v>
      </c>
      <c r="AH23" s="83"/>
      <c r="AI23" s="80"/>
      <c r="AJ23" s="81"/>
      <c r="AK23" s="82"/>
      <c r="AL23" s="82"/>
      <c r="AM23" s="83"/>
      <c r="AN23" s="80"/>
      <c r="AO23" s="134"/>
      <c r="AP23" s="2"/>
      <c r="AQ23" s="2"/>
      <c r="AR23" s="3"/>
    </row>
    <row r="24" spans="1:44" ht="16.05" customHeight="1">
      <c r="A24" s="148"/>
      <c r="B24" s="149"/>
      <c r="C24" s="149"/>
      <c r="D24" s="149"/>
      <c r="E24" s="150"/>
      <c r="F24" s="150"/>
      <c r="G24" s="166"/>
      <c r="H24" s="4"/>
      <c r="I24" s="112"/>
      <c r="J24" s="86"/>
      <c r="K24" s="87"/>
      <c r="L24" s="88"/>
      <c r="M24" s="88"/>
      <c r="N24" s="89"/>
      <c r="O24" s="90"/>
      <c r="P24" s="4"/>
      <c r="Q24" s="4"/>
      <c r="R24" s="4"/>
      <c r="S24" s="4"/>
      <c r="T24" s="4"/>
      <c r="U24" s="5"/>
      <c r="V24" s="6"/>
      <c r="W24" s="6"/>
      <c r="X24" s="7"/>
      <c r="Y24" s="4"/>
      <c r="Z24" s="5"/>
      <c r="AA24" s="6"/>
      <c r="AB24" s="6"/>
      <c r="AC24" s="7"/>
      <c r="AD24" s="4"/>
      <c r="AE24" s="5"/>
      <c r="AF24" s="6"/>
      <c r="AG24" s="121"/>
      <c r="AH24" s="89"/>
      <c r="AI24" s="86"/>
      <c r="AJ24" s="87"/>
      <c r="AK24" s="88"/>
      <c r="AL24" s="88"/>
      <c r="AM24" s="89"/>
      <c r="AN24" s="86"/>
      <c r="AO24" s="135"/>
      <c r="AP24" s="6"/>
      <c r="AQ24" s="6"/>
      <c r="AR24" s="7"/>
    </row>
    <row r="25" spans="1:44" ht="16.0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2"/>
      <c r="M25" s="2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19"/>
      <c r="AA25" s="2"/>
      <c r="AB25" s="2"/>
      <c r="AC25" s="3"/>
      <c r="AD25" s="4"/>
      <c r="AE25" s="4"/>
      <c r="AF25" s="4"/>
      <c r="AG25" s="4"/>
      <c r="AH25" s="4"/>
      <c r="AI25" s="4"/>
      <c r="AJ25" s="19"/>
      <c r="AK25" s="2"/>
      <c r="AL25" s="2"/>
      <c r="AM25" s="3"/>
      <c r="AN25" s="4"/>
      <c r="AO25" s="19"/>
      <c r="AP25" s="2"/>
      <c r="AQ25" s="2"/>
      <c r="AR25" s="3"/>
    </row>
    <row r="26" spans="1:44" ht="16.05" customHeight="1">
      <c r="A26" s="167" t="s">
        <v>63</v>
      </c>
      <c r="B26" s="168"/>
      <c r="C26" s="168"/>
      <c r="D26" s="168"/>
      <c r="E26" s="168"/>
      <c r="F26" s="168"/>
      <c r="G26" s="169"/>
      <c r="H26" s="4"/>
      <c r="I26" s="113" t="s">
        <v>64</v>
      </c>
      <c r="J26" s="92"/>
      <c r="K26" s="93"/>
      <c r="L26" s="94"/>
      <c r="M26" s="94"/>
      <c r="N26" s="95"/>
      <c r="O26" s="96"/>
      <c r="P26" s="4"/>
      <c r="Q26" s="111" t="s">
        <v>65</v>
      </c>
      <c r="R26" s="80"/>
      <c r="S26" s="80"/>
      <c r="T26" s="80"/>
      <c r="U26" s="80"/>
      <c r="V26" s="80"/>
      <c r="W26" s="84"/>
      <c r="X26" s="4"/>
      <c r="Y26" s="111" t="s">
        <v>66</v>
      </c>
      <c r="Z26" s="140"/>
      <c r="AA26" s="141"/>
      <c r="AB26" s="141"/>
      <c r="AC26" s="142"/>
      <c r="AD26" s="80"/>
      <c r="AE26" s="84"/>
      <c r="AF26" s="4"/>
      <c r="AG26" s="113" t="s">
        <v>67</v>
      </c>
      <c r="AH26" s="92"/>
      <c r="AI26" s="92"/>
      <c r="AJ26" s="93"/>
      <c r="AK26" s="94"/>
      <c r="AL26" s="94"/>
      <c r="AM26" s="95"/>
      <c r="AN26" s="92"/>
      <c r="AO26" s="136"/>
      <c r="AP26" s="6"/>
      <c r="AQ26" s="6"/>
      <c r="AR26" s="7"/>
    </row>
    <row r="27" spans="1:44" ht="16.05" customHeight="1">
      <c r="A27" s="170"/>
      <c r="B27" s="171"/>
      <c r="C27" s="171"/>
      <c r="D27" s="171"/>
      <c r="E27" s="171"/>
      <c r="F27" s="171"/>
      <c r="G27" s="172"/>
      <c r="H27" s="4"/>
      <c r="I27" s="114"/>
      <c r="J27" s="98"/>
      <c r="K27" s="99"/>
      <c r="L27" s="100"/>
      <c r="M27" s="100"/>
      <c r="N27" s="101"/>
      <c r="O27" s="102"/>
      <c r="P27" s="4"/>
      <c r="Q27" s="112"/>
      <c r="R27" s="86"/>
      <c r="S27" s="86"/>
      <c r="T27" s="86"/>
      <c r="U27" s="86"/>
      <c r="V27" s="86"/>
      <c r="W27" s="90"/>
      <c r="X27" s="4"/>
      <c r="Y27" s="112"/>
      <c r="Z27" s="86"/>
      <c r="AA27" s="86"/>
      <c r="AB27" s="86"/>
      <c r="AC27" s="86"/>
      <c r="AD27" s="86"/>
      <c r="AE27" s="90"/>
      <c r="AF27" s="4"/>
      <c r="AG27" s="114"/>
      <c r="AH27" s="98"/>
      <c r="AI27" s="98"/>
      <c r="AJ27" s="98"/>
      <c r="AK27" s="98"/>
      <c r="AL27" s="98"/>
      <c r="AM27" s="98"/>
      <c r="AN27" s="98"/>
      <c r="AO27" s="102"/>
      <c r="AP27" s="4"/>
      <c r="AQ27" s="4"/>
      <c r="AR27" s="4"/>
    </row>
    <row r="28" spans="1:44" ht="16.0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6"/>
      <c r="M28" s="6"/>
      <c r="N28" s="7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ht="16.05" customHeight="1">
      <c r="A29" s="160" t="s">
        <v>68</v>
      </c>
      <c r="B29" s="154"/>
      <c r="C29" s="154"/>
      <c r="D29" s="154"/>
      <c r="E29" s="154"/>
      <c r="F29" s="154"/>
      <c r="G29" s="173"/>
      <c r="H29" s="4"/>
      <c r="I29" s="113" t="s">
        <v>69</v>
      </c>
      <c r="J29" s="92"/>
      <c r="K29" s="92"/>
      <c r="L29" s="92"/>
      <c r="M29" s="92"/>
      <c r="N29" s="92"/>
      <c r="O29" s="96"/>
      <c r="P29" s="4"/>
      <c r="Q29" s="113" t="s">
        <v>70</v>
      </c>
      <c r="R29" s="92"/>
      <c r="S29" s="92"/>
      <c r="T29" s="92"/>
      <c r="U29" s="92"/>
      <c r="V29" s="92"/>
      <c r="W29" s="96"/>
      <c r="X29" s="4"/>
      <c r="Y29" s="113" t="s">
        <v>71</v>
      </c>
      <c r="Z29" s="92"/>
      <c r="AA29" s="92"/>
      <c r="AB29" s="92"/>
      <c r="AC29" s="92"/>
      <c r="AD29" s="92"/>
      <c r="AE29" s="96"/>
      <c r="AF29" s="4"/>
      <c r="AG29" s="113" t="s">
        <v>72</v>
      </c>
      <c r="AH29" s="92"/>
      <c r="AI29" s="92"/>
      <c r="AJ29" s="92"/>
      <c r="AK29" s="92"/>
      <c r="AL29" s="92"/>
      <c r="AM29" s="92"/>
      <c r="AN29" s="92"/>
      <c r="AO29" s="96"/>
      <c r="AP29" s="4"/>
      <c r="AQ29" s="4"/>
      <c r="AR29" s="4"/>
    </row>
    <row r="30" spans="1:44" ht="16.05" customHeight="1">
      <c r="A30" s="174"/>
      <c r="B30" s="157"/>
      <c r="C30" s="157"/>
      <c r="D30" s="157"/>
      <c r="E30" s="157"/>
      <c r="F30" s="157"/>
      <c r="G30" s="159"/>
      <c r="H30" s="2"/>
      <c r="I30" s="115"/>
      <c r="J30" s="100"/>
      <c r="K30" s="100"/>
      <c r="L30" s="100"/>
      <c r="M30" s="100"/>
      <c r="N30" s="100"/>
      <c r="O30" s="116"/>
      <c r="P30" s="2"/>
      <c r="Q30" s="115"/>
      <c r="R30" s="100"/>
      <c r="S30" s="100"/>
      <c r="T30" s="100"/>
      <c r="U30" s="100"/>
      <c r="V30" s="100"/>
      <c r="W30" s="116"/>
      <c r="X30" s="2"/>
      <c r="Y30" s="115"/>
      <c r="Z30" s="100"/>
      <c r="AA30" s="100"/>
      <c r="AB30" s="100"/>
      <c r="AC30" s="100"/>
      <c r="AD30" s="100"/>
      <c r="AE30" s="116"/>
      <c r="AF30" s="2"/>
      <c r="AG30" s="115"/>
      <c r="AH30" s="100"/>
      <c r="AI30" s="100"/>
      <c r="AJ30" s="100"/>
      <c r="AK30" s="100"/>
      <c r="AL30" s="100"/>
      <c r="AM30" s="100"/>
      <c r="AN30" s="100"/>
      <c r="AO30" s="116"/>
      <c r="AP30" s="2"/>
      <c r="AQ30" s="2"/>
      <c r="AR30" s="3"/>
    </row>
    <row r="31" spans="1:44" ht="16.05" customHeight="1">
      <c r="A31" s="16"/>
      <c r="AR31" s="17"/>
    </row>
    <row r="32" spans="1:44" ht="16.05" customHeight="1">
      <c r="A32" s="152" t="s">
        <v>73</v>
      </c>
      <c r="B32" s="153"/>
      <c r="C32" s="153"/>
      <c r="D32" s="153"/>
      <c r="E32" s="153"/>
      <c r="F32" s="153"/>
      <c r="G32" s="155"/>
      <c r="H32" s="6"/>
      <c r="I32" s="6"/>
      <c r="J32" s="6"/>
      <c r="K32" s="6"/>
      <c r="L32" s="6"/>
      <c r="M32" s="6"/>
      <c r="N32" s="6"/>
      <c r="O32" s="6"/>
      <c r="P32" s="6"/>
      <c r="Q32" s="123" t="s">
        <v>74</v>
      </c>
      <c r="R32" s="94"/>
      <c r="S32" s="94"/>
      <c r="T32" s="94"/>
      <c r="U32" s="94"/>
      <c r="V32" s="94"/>
      <c r="W32" s="124"/>
      <c r="X32" s="6"/>
      <c r="Y32" s="123" t="s">
        <v>75</v>
      </c>
      <c r="Z32" s="94"/>
      <c r="AA32" s="94"/>
      <c r="AB32" s="94"/>
      <c r="AC32" s="94"/>
      <c r="AD32" s="94"/>
      <c r="AE32" s="124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7"/>
    </row>
    <row r="33" spans="1:44" ht="16.05" customHeight="1">
      <c r="A33" s="156"/>
      <c r="B33" s="158"/>
      <c r="C33" s="158"/>
      <c r="D33" s="158"/>
      <c r="E33" s="158"/>
      <c r="F33" s="158"/>
      <c r="G33" s="175"/>
      <c r="H33" s="4"/>
      <c r="I33" s="111" t="s">
        <v>76</v>
      </c>
      <c r="J33" s="80"/>
      <c r="K33" s="80"/>
      <c r="L33" s="80"/>
      <c r="M33" s="80"/>
      <c r="N33" s="80"/>
      <c r="O33" s="84"/>
      <c r="P33" s="4"/>
      <c r="Q33" s="114"/>
      <c r="R33" s="98"/>
      <c r="S33" s="98"/>
      <c r="T33" s="98"/>
      <c r="U33" s="98"/>
      <c r="V33" s="98"/>
      <c r="W33" s="102"/>
      <c r="X33" s="4"/>
      <c r="Y33" s="114"/>
      <c r="Z33" s="98"/>
      <c r="AA33" s="98"/>
      <c r="AB33" s="98"/>
      <c r="AC33" s="98"/>
      <c r="AD33" s="98"/>
      <c r="AE33" s="102"/>
      <c r="AF33" s="4"/>
      <c r="AG33" s="111" t="s">
        <v>77</v>
      </c>
      <c r="AH33" s="80"/>
      <c r="AI33" s="80"/>
      <c r="AJ33" s="80"/>
      <c r="AK33" s="80"/>
      <c r="AL33" s="80"/>
      <c r="AM33" s="80"/>
      <c r="AN33" s="80"/>
      <c r="AO33" s="84"/>
      <c r="AP33" s="4"/>
      <c r="AQ33" s="4"/>
      <c r="AR33" s="4"/>
    </row>
    <row r="34" spans="1:44" ht="16.05" customHeight="1">
      <c r="A34" s="4"/>
      <c r="B34" s="4"/>
      <c r="C34" s="4"/>
      <c r="D34" s="4"/>
      <c r="E34" s="4"/>
      <c r="F34" s="4"/>
      <c r="G34" s="4"/>
      <c r="H34" s="4"/>
      <c r="I34" s="112"/>
      <c r="J34" s="86"/>
      <c r="K34" s="86"/>
      <c r="L34" s="86"/>
      <c r="M34" s="86"/>
      <c r="N34" s="86"/>
      <c r="O34" s="9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112"/>
      <c r="AH34" s="86"/>
      <c r="AI34" s="86"/>
      <c r="AJ34" s="86"/>
      <c r="AK34" s="86"/>
      <c r="AL34" s="86"/>
      <c r="AM34" s="86"/>
      <c r="AN34" s="86"/>
      <c r="AO34" s="90"/>
      <c r="AP34" s="4"/>
      <c r="AQ34" s="4"/>
      <c r="AR34" s="4"/>
    </row>
    <row r="35" spans="1:44" ht="16.05" customHeight="1">
      <c r="A35" s="28"/>
      <c r="B35" s="27"/>
      <c r="C35" s="27"/>
      <c r="D35" s="27"/>
      <c r="E35" s="27"/>
      <c r="F35" s="27"/>
      <c r="G35" s="2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13" t="s">
        <v>78</v>
      </c>
      <c r="Z35" s="92"/>
      <c r="AA35" s="92"/>
      <c r="AB35" s="92"/>
      <c r="AC35" s="92"/>
      <c r="AD35" s="92"/>
      <c r="AE35" s="96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 ht="16.05" customHeight="1">
      <c r="A36" s="162" t="s">
        <v>79</v>
      </c>
      <c r="B36" s="164"/>
      <c r="C36" s="164"/>
      <c r="D36" s="164"/>
      <c r="E36" s="164"/>
      <c r="F36" s="164"/>
      <c r="G36" s="165"/>
      <c r="H36" s="4"/>
      <c r="I36" s="113" t="s">
        <v>80</v>
      </c>
      <c r="J36" s="92"/>
      <c r="K36" s="92"/>
      <c r="L36" s="92"/>
      <c r="M36" s="92"/>
      <c r="N36" s="92"/>
      <c r="O36" s="96"/>
      <c r="P36" s="4"/>
      <c r="Q36" s="111" t="s">
        <v>81</v>
      </c>
      <c r="R36" s="80"/>
      <c r="S36" s="80"/>
      <c r="T36" s="80"/>
      <c r="U36" s="80"/>
      <c r="V36" s="80"/>
      <c r="W36" s="84"/>
      <c r="X36" s="4"/>
      <c r="Y36" s="114"/>
      <c r="Z36" s="98"/>
      <c r="AA36" s="98"/>
      <c r="AB36" s="98"/>
      <c r="AC36" s="98"/>
      <c r="AD36" s="98"/>
      <c r="AE36" s="102"/>
      <c r="AF36" s="4"/>
      <c r="AG36" s="113" t="s">
        <v>82</v>
      </c>
      <c r="AH36" s="92"/>
      <c r="AI36" s="92"/>
      <c r="AJ36" s="92"/>
      <c r="AK36" s="92"/>
      <c r="AL36" s="92"/>
      <c r="AM36" s="92"/>
      <c r="AN36" s="92"/>
      <c r="AO36" s="96"/>
      <c r="AP36" s="4"/>
      <c r="AQ36" s="4"/>
      <c r="AR36" s="4"/>
    </row>
    <row r="37" spans="1:44" ht="16.05" customHeight="1">
      <c r="A37" s="176"/>
      <c r="B37" s="150"/>
      <c r="C37" s="150"/>
      <c r="D37" s="150"/>
      <c r="E37" s="150"/>
      <c r="F37" s="150"/>
      <c r="G37" s="166"/>
      <c r="H37" s="4"/>
      <c r="I37" s="114"/>
      <c r="J37" s="98"/>
      <c r="K37" s="98"/>
      <c r="L37" s="98"/>
      <c r="M37" s="98"/>
      <c r="N37" s="98"/>
      <c r="O37" s="102"/>
      <c r="P37" s="4"/>
      <c r="Q37" s="112"/>
      <c r="R37" s="86"/>
      <c r="S37" s="86"/>
      <c r="T37" s="86"/>
      <c r="U37" s="86"/>
      <c r="V37" s="86"/>
      <c r="W37" s="90"/>
      <c r="X37" s="4"/>
      <c r="Y37" s="4"/>
      <c r="Z37" s="4"/>
      <c r="AA37" s="4"/>
      <c r="AB37" s="4"/>
      <c r="AC37" s="4"/>
      <c r="AD37" s="4"/>
      <c r="AE37" s="4"/>
      <c r="AF37" s="4"/>
      <c r="AG37" s="114"/>
      <c r="AH37" s="98"/>
      <c r="AI37" s="98"/>
      <c r="AJ37" s="98"/>
      <c r="AK37" s="98"/>
      <c r="AL37" s="98"/>
      <c r="AM37" s="98"/>
      <c r="AN37" s="98"/>
      <c r="AO37" s="102"/>
      <c r="AP37" s="4"/>
      <c r="AQ37" s="4"/>
      <c r="AR37" s="4"/>
    </row>
    <row r="38" spans="1:44" ht="16.0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ht="16.05" customHeight="1">
      <c r="A39" s="160" t="s">
        <v>83</v>
      </c>
      <c r="B39" s="154"/>
      <c r="C39" s="154"/>
      <c r="D39" s="154"/>
      <c r="E39" s="154"/>
      <c r="F39" s="154"/>
      <c r="G39" s="173"/>
      <c r="H39" s="4"/>
      <c r="I39" s="113" t="s">
        <v>84</v>
      </c>
      <c r="J39" s="92"/>
      <c r="K39" s="92"/>
      <c r="L39" s="92"/>
      <c r="M39" s="92"/>
      <c r="N39" s="92"/>
      <c r="O39" s="96"/>
      <c r="P39" s="4"/>
      <c r="Q39" s="113" t="s">
        <v>85</v>
      </c>
      <c r="R39" s="92"/>
      <c r="S39" s="92"/>
      <c r="T39" s="92"/>
      <c r="U39" s="92"/>
      <c r="V39" s="92"/>
      <c r="W39" s="96"/>
      <c r="X39" s="4"/>
      <c r="Y39" s="111" t="s">
        <v>86</v>
      </c>
      <c r="Z39" s="80"/>
      <c r="AA39" s="80"/>
      <c r="AB39" s="80"/>
      <c r="AC39" s="80"/>
      <c r="AD39" s="80"/>
      <c r="AE39" s="84"/>
      <c r="AF39" s="4"/>
      <c r="AG39" s="113" t="s">
        <v>87</v>
      </c>
      <c r="AH39" s="92"/>
      <c r="AI39" s="92"/>
      <c r="AJ39" s="92"/>
      <c r="AK39" s="92"/>
      <c r="AL39" s="92"/>
      <c r="AM39" s="92"/>
      <c r="AN39" s="92"/>
      <c r="AO39" s="96"/>
      <c r="AP39" s="4"/>
      <c r="AQ39" s="4"/>
      <c r="AR39" s="4"/>
    </row>
    <row r="40" spans="1:44" ht="16.05" customHeight="1">
      <c r="A40" s="156"/>
      <c r="B40" s="158"/>
      <c r="C40" s="158"/>
      <c r="D40" s="158"/>
      <c r="E40" s="158"/>
      <c r="F40" s="158"/>
      <c r="G40" s="175"/>
      <c r="H40" s="4"/>
      <c r="I40" s="114"/>
      <c r="J40" s="98"/>
      <c r="K40" s="98"/>
      <c r="L40" s="98"/>
      <c r="M40" s="98"/>
      <c r="N40" s="98"/>
      <c r="O40" s="102"/>
      <c r="P40" s="4"/>
      <c r="Q40" s="114"/>
      <c r="R40" s="98"/>
      <c r="S40" s="98"/>
      <c r="T40" s="98"/>
      <c r="U40" s="98"/>
      <c r="V40" s="98"/>
      <c r="W40" s="102"/>
      <c r="X40" s="4"/>
      <c r="Y40" s="112"/>
      <c r="Z40" s="86"/>
      <c r="AA40" s="86"/>
      <c r="AB40" s="86"/>
      <c r="AC40" s="86"/>
      <c r="AD40" s="86"/>
      <c r="AE40" s="90"/>
      <c r="AF40" s="4"/>
      <c r="AG40" s="114"/>
      <c r="AH40" s="98"/>
      <c r="AI40" s="98"/>
      <c r="AJ40" s="98"/>
      <c r="AK40" s="98"/>
      <c r="AL40" s="98"/>
      <c r="AM40" s="98"/>
      <c r="AN40" s="98"/>
      <c r="AO40" s="102"/>
      <c r="AP40" s="4"/>
      <c r="AQ40" s="4"/>
      <c r="AR40" s="4"/>
    </row>
    <row r="41" spans="1:44" ht="16.0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6.05" customHeight="1">
      <c r="A42" s="160" t="s">
        <v>88</v>
      </c>
      <c r="B42" s="154"/>
      <c r="C42" s="154"/>
      <c r="D42" s="154"/>
      <c r="E42" s="154"/>
      <c r="F42" s="154"/>
      <c r="G42" s="173"/>
      <c r="H42" s="4"/>
      <c r="I42" s="4"/>
      <c r="J42" s="4"/>
      <c r="K42" s="4"/>
      <c r="L42" s="4"/>
      <c r="M42" s="4"/>
      <c r="N42" s="4"/>
      <c r="O42" s="4"/>
      <c r="P42" s="4"/>
      <c r="Q42" s="113" t="s">
        <v>89</v>
      </c>
      <c r="R42" s="92"/>
      <c r="S42" s="92"/>
      <c r="T42" s="92"/>
      <c r="U42" s="92"/>
      <c r="V42" s="92"/>
      <c r="W42" s="96"/>
      <c r="X42" s="4"/>
      <c r="Y42" s="113" t="s">
        <v>90</v>
      </c>
      <c r="Z42" s="92"/>
      <c r="AA42" s="92"/>
      <c r="AB42" s="92"/>
      <c r="AC42" s="92"/>
      <c r="AD42" s="92"/>
      <c r="AE42" s="96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6.05" customHeight="1">
      <c r="A43" s="156"/>
      <c r="B43" s="158"/>
      <c r="C43" s="158"/>
      <c r="D43" s="158"/>
      <c r="E43" s="158"/>
      <c r="F43" s="158"/>
      <c r="G43" s="175"/>
      <c r="H43" s="4"/>
      <c r="I43" s="4"/>
      <c r="J43" s="4"/>
      <c r="K43" s="4"/>
      <c r="L43" s="4"/>
      <c r="M43" s="4"/>
      <c r="N43" s="4"/>
      <c r="O43" s="4"/>
      <c r="P43" s="4"/>
      <c r="Q43" s="114"/>
      <c r="R43" s="98"/>
      <c r="S43" s="98"/>
      <c r="T43" s="98"/>
      <c r="U43" s="98"/>
      <c r="V43" s="98"/>
      <c r="W43" s="102"/>
      <c r="X43" s="4"/>
      <c r="Y43" s="114"/>
      <c r="Z43" s="98"/>
      <c r="AA43" s="98"/>
      <c r="AB43" s="98"/>
      <c r="AC43" s="98"/>
      <c r="AD43" s="98"/>
      <c r="AE43" s="102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6.0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6.05" customHeight="1">
      <c r="A45" s="160" t="s">
        <v>91</v>
      </c>
      <c r="B45" s="154"/>
      <c r="C45" s="154"/>
      <c r="D45" s="154"/>
      <c r="E45" s="154"/>
      <c r="F45" s="154"/>
      <c r="G45" s="173"/>
      <c r="H45" s="4"/>
      <c r="I45" s="4"/>
      <c r="J45" s="4"/>
      <c r="K45" s="4"/>
      <c r="L45" s="4"/>
      <c r="M45" s="4"/>
      <c r="N45" s="4"/>
      <c r="O45" s="4"/>
      <c r="P45" s="4"/>
      <c r="Q45" s="113" t="s">
        <v>92</v>
      </c>
      <c r="R45" s="92"/>
      <c r="S45" s="92"/>
      <c r="T45" s="92"/>
      <c r="U45" s="92"/>
      <c r="V45" s="92"/>
      <c r="W45" s="96"/>
      <c r="X45" s="4"/>
      <c r="Y45" s="113" t="s">
        <v>93</v>
      </c>
      <c r="Z45" s="92"/>
      <c r="AA45" s="92"/>
      <c r="AB45" s="92"/>
      <c r="AC45" s="92"/>
      <c r="AD45" s="92"/>
      <c r="AE45" s="96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6.05" customHeight="1">
      <c r="A46" s="156"/>
      <c r="B46" s="158"/>
      <c r="C46" s="158"/>
      <c r="D46" s="158"/>
      <c r="E46" s="158"/>
      <c r="F46" s="158"/>
      <c r="G46" s="175"/>
      <c r="H46" s="4"/>
      <c r="I46" s="4"/>
      <c r="J46" s="4"/>
      <c r="K46" s="4"/>
      <c r="L46" s="4"/>
      <c r="M46" s="4"/>
      <c r="N46" s="4"/>
      <c r="O46" s="4"/>
      <c r="P46" s="4"/>
      <c r="Q46" s="114"/>
      <c r="R46" s="98"/>
      <c r="S46" s="98"/>
      <c r="T46" s="98"/>
      <c r="U46" s="98"/>
      <c r="V46" s="98"/>
      <c r="W46" s="102"/>
      <c r="X46" s="4"/>
      <c r="Y46" s="114"/>
      <c r="Z46" s="98"/>
      <c r="AA46" s="98"/>
      <c r="AB46" s="98"/>
      <c r="AC46" s="98"/>
      <c r="AD46" s="98"/>
      <c r="AE46" s="102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6.0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6.0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6.0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6.05" customHeight="1">
      <c r="A50" s="143" t="s">
        <v>94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4"/>
      <c r="AQ50" s="4"/>
      <c r="AR50" s="4"/>
    </row>
    <row r="51" spans="1:44" ht="16.0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4"/>
      <c r="AQ51" s="4"/>
      <c r="AR51" s="4"/>
    </row>
    <row r="52" spans="1:44" ht="16.0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4"/>
      <c r="AQ52" s="4"/>
      <c r="AR52" s="4"/>
    </row>
    <row r="53" spans="1:44" ht="16.0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4"/>
      <c r="AQ53" s="4"/>
      <c r="AR53" s="4"/>
    </row>
    <row r="54" spans="1:44" ht="12.6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2.6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2.6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2.6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2.6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2.6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2.6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2.6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2.6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2.6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2.6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2.6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2.6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2.6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2.6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2.6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2.6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2.6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2.6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2.6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2.6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2.6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2.6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2.6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2.6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2.6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2.6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2.6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2.6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2.6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2.6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2.6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2.6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2.6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2.6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2.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2.6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2.6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2.6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2.6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2.6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2.6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2.6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2.6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2.6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2.6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2.6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2.6" customHeight="1"/>
    <row r="102" spans="1:44" ht="12.6" customHeight="1"/>
    <row r="103" spans="1:44" ht="12.6" customHeight="1"/>
    <row r="104" spans="1:44" ht="12.6" customHeight="1"/>
    <row r="105" spans="1:44" ht="12.6" customHeight="1"/>
    <row r="106" spans="1:44" ht="12.6" customHeight="1"/>
    <row r="107" spans="1:44" ht="12.6" customHeight="1"/>
    <row r="108" spans="1:44" ht="12.6" customHeight="1"/>
    <row r="109" spans="1:44" ht="12.6" customHeight="1"/>
    <row r="110" spans="1:44" ht="12.6" customHeight="1"/>
    <row r="111" spans="1:44" ht="12.6" customHeight="1"/>
    <row r="112" spans="1:44" ht="12.6" customHeight="1"/>
    <row r="113" ht="12.6" customHeight="1"/>
    <row r="114" ht="12.6" customHeight="1"/>
    <row r="115" ht="12.6" customHeight="1"/>
    <row r="116" ht="12.6" customHeight="1"/>
    <row r="117" ht="12.6" customHeight="1"/>
    <row r="118" ht="12.6" customHeight="1"/>
    <row r="119" ht="12.6" customHeight="1"/>
    <row r="120" ht="12.6" customHeight="1"/>
    <row r="121" ht="12.6" customHeight="1"/>
    <row r="122" ht="12.6" customHeight="1"/>
    <row r="123" ht="12.6" customHeight="1"/>
    <row r="124" ht="12.6" customHeight="1"/>
    <row r="125" ht="12.6" customHeight="1"/>
    <row r="126" ht="12.6" customHeight="1"/>
    <row r="127" ht="12.6" customHeight="1"/>
    <row r="128" ht="12.6" customHeight="1"/>
    <row r="129" ht="12.6" customHeight="1"/>
    <row r="130" ht="12.6" customHeight="1"/>
    <row r="131" ht="12.6" customHeight="1"/>
    <row r="132" ht="12.6" customHeight="1"/>
    <row r="133" ht="12.6" customHeight="1"/>
    <row r="134" ht="12.6" customHeight="1"/>
    <row r="135" ht="12.6" customHeight="1"/>
    <row r="136" ht="12.6" customHeight="1"/>
    <row r="137" ht="12.6" customHeight="1"/>
    <row r="138" ht="12.6" customHeight="1"/>
    <row r="139" ht="12.6" customHeight="1"/>
    <row r="140" ht="12.6" customHeight="1"/>
    <row r="141" ht="12.6" customHeight="1"/>
    <row r="142" ht="12.6" customHeight="1"/>
    <row r="143" ht="12.6" customHeight="1"/>
    <row r="144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</sheetData>
  <mergeCells count="60">
    <mergeCell ref="A13:G14"/>
    <mergeCell ref="A16:G17"/>
    <mergeCell ref="A19:G20"/>
    <mergeCell ref="A23:G24"/>
    <mergeCell ref="A26:G27"/>
    <mergeCell ref="AG29:AO30"/>
    <mergeCell ref="AG33:AO34"/>
    <mergeCell ref="AG36:AO37"/>
    <mergeCell ref="AG39:AO40"/>
    <mergeCell ref="A50:AO53"/>
    <mergeCell ref="A29:G30"/>
    <mergeCell ref="A32:G33"/>
    <mergeCell ref="A36:G37"/>
    <mergeCell ref="A39:G40"/>
    <mergeCell ref="A42:G43"/>
    <mergeCell ref="A45:G46"/>
    <mergeCell ref="AG13:AO14"/>
    <mergeCell ref="AG16:AO17"/>
    <mergeCell ref="AG19:AO20"/>
    <mergeCell ref="AG23:AO24"/>
    <mergeCell ref="AG26:AO27"/>
    <mergeCell ref="Q42:W43"/>
    <mergeCell ref="Q45:W46"/>
    <mergeCell ref="Y9:AE11"/>
    <mergeCell ref="Y13:AE14"/>
    <mergeCell ref="Y16:AE17"/>
    <mergeCell ref="Y19:AE20"/>
    <mergeCell ref="Y22:AE23"/>
    <mergeCell ref="Y26:AE27"/>
    <mergeCell ref="Y29:AE30"/>
    <mergeCell ref="Y32:AE33"/>
    <mergeCell ref="Y35:AE36"/>
    <mergeCell ref="Y39:AE40"/>
    <mergeCell ref="Y42:AE43"/>
    <mergeCell ref="Y45:AE46"/>
    <mergeCell ref="I29:O30"/>
    <mergeCell ref="I33:O34"/>
    <mergeCell ref="I36:O37"/>
    <mergeCell ref="I39:O40"/>
    <mergeCell ref="Q9:W11"/>
    <mergeCell ref="Q13:W14"/>
    <mergeCell ref="Q16:W17"/>
    <mergeCell ref="Q19:W20"/>
    <mergeCell ref="Q22:W23"/>
    <mergeCell ref="Q26:W27"/>
    <mergeCell ref="Q29:W30"/>
    <mergeCell ref="Q32:W33"/>
    <mergeCell ref="Q36:W37"/>
    <mergeCell ref="Q39:W40"/>
    <mergeCell ref="I13:O14"/>
    <mergeCell ref="I16:O17"/>
    <mergeCell ref="I19:O20"/>
    <mergeCell ref="I23:O24"/>
    <mergeCell ref="I26:O27"/>
    <mergeCell ref="A1:AO2"/>
    <mergeCell ref="A3:AO3"/>
    <mergeCell ref="K5:AE7"/>
    <mergeCell ref="A9:G11"/>
    <mergeCell ref="I9:O11"/>
    <mergeCell ref="AG9:AO11"/>
  </mergeCells>
  <conditionalFormatting sqref="A23:D24 AE23:AH24">
    <cfRule type="notContainsBlanks" dxfId="9" priority="1">
      <formula>LEN(TRIM(A23))&gt;0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selection activeCell="G43" sqref="G43"/>
    </sheetView>
  </sheetViews>
  <sheetFormatPr baseColWidth="10" defaultColWidth="12.59765625" defaultRowHeight="13.8"/>
  <cols>
    <col min="1" max="1" width="13" customWidth="1"/>
    <col min="2" max="2" width="9" customWidth="1"/>
    <col min="3" max="3" width="32" customWidth="1"/>
    <col min="4" max="4" width="52" customWidth="1"/>
    <col min="5" max="5" width="20" customWidth="1"/>
    <col min="6" max="7" width="18" customWidth="1"/>
    <col min="8" max="8" width="14" customWidth="1"/>
    <col min="9" max="10" width="16" customWidth="1"/>
    <col min="11" max="11" width="14" customWidth="1"/>
    <col min="12" max="12" width="48" customWidth="1"/>
    <col min="13" max="32" width="8.59765625" customWidth="1"/>
  </cols>
  <sheetData>
    <row r="1" spans="1:32" ht="18">
      <c r="A1" s="177" t="s">
        <v>95</v>
      </c>
      <c r="B1" s="177"/>
      <c r="C1" s="177"/>
      <c r="D1" s="177"/>
      <c r="E1" s="177"/>
      <c r="F1" s="177"/>
      <c r="G1" s="1"/>
      <c r="H1" s="1"/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4.4">
      <c r="A2" s="8"/>
      <c r="B2" s="8"/>
      <c r="C2" s="8"/>
      <c r="D2" s="8"/>
      <c r="E2" s="8"/>
      <c r="F2" s="8"/>
      <c r="G2" s="8"/>
      <c r="H2" s="10"/>
      <c r="I2" s="10"/>
      <c r="J2" s="8"/>
      <c r="K2" s="8"/>
      <c r="L2" s="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4.4">
      <c r="A3" s="30" t="s">
        <v>96</v>
      </c>
      <c r="B3" s="30" t="s">
        <v>97</v>
      </c>
      <c r="C3" s="30" t="s">
        <v>98</v>
      </c>
      <c r="D3" s="30" t="s">
        <v>99</v>
      </c>
      <c r="E3" s="30" t="s">
        <v>100</v>
      </c>
      <c r="F3" s="30" t="s">
        <v>101</v>
      </c>
      <c r="G3" s="31" t="s">
        <v>3</v>
      </c>
      <c r="H3" s="15"/>
      <c r="I3" s="15"/>
      <c r="J3" s="14"/>
      <c r="K3" s="14"/>
      <c r="L3" s="1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8.8">
      <c r="A4" s="23" t="s">
        <v>102</v>
      </c>
      <c r="B4" s="23">
        <v>1</v>
      </c>
      <c r="C4" s="23" t="s">
        <v>103</v>
      </c>
      <c r="D4" s="23" t="s">
        <v>104</v>
      </c>
      <c r="E4" s="23" t="s">
        <v>105</v>
      </c>
      <c r="F4" s="23" t="s">
        <v>106</v>
      </c>
      <c r="G4" s="14"/>
      <c r="H4" s="15"/>
      <c r="I4" s="15"/>
      <c r="J4" s="14"/>
      <c r="K4" s="14"/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4.4">
      <c r="A5" s="23" t="s">
        <v>107</v>
      </c>
      <c r="B5" s="23">
        <v>2</v>
      </c>
      <c r="C5" s="23" t="s">
        <v>108</v>
      </c>
      <c r="D5" s="23" t="s">
        <v>109</v>
      </c>
      <c r="E5" s="23" t="s">
        <v>110</v>
      </c>
      <c r="F5" s="23" t="s">
        <v>111</v>
      </c>
      <c r="G5" s="14"/>
      <c r="H5" s="15"/>
      <c r="I5" s="15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4.4">
      <c r="A6" s="23" t="s">
        <v>112</v>
      </c>
      <c r="B6" s="23">
        <v>3</v>
      </c>
      <c r="C6" s="23" t="s">
        <v>113</v>
      </c>
      <c r="D6" s="23" t="s">
        <v>114</v>
      </c>
      <c r="E6" s="23" t="s">
        <v>115</v>
      </c>
      <c r="F6" s="23" t="s">
        <v>111</v>
      </c>
      <c r="G6" s="14"/>
      <c r="H6" s="15"/>
      <c r="I6" s="15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8.8">
      <c r="A7" s="23" t="s">
        <v>116</v>
      </c>
      <c r="B7" s="23">
        <v>4</v>
      </c>
      <c r="C7" s="23" t="s">
        <v>117</v>
      </c>
      <c r="D7" s="23" t="s">
        <v>118</v>
      </c>
      <c r="E7" s="23" t="s">
        <v>119</v>
      </c>
      <c r="F7" s="23" t="s">
        <v>120</v>
      </c>
      <c r="G7" s="32" t="s">
        <v>121</v>
      </c>
      <c r="H7" s="15"/>
      <c r="I7" s="15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8.8">
      <c r="A8" s="23" t="s">
        <v>122</v>
      </c>
      <c r="B8" s="23">
        <v>4</v>
      </c>
      <c r="C8" s="23" t="s">
        <v>123</v>
      </c>
      <c r="D8" s="23" t="s">
        <v>124</v>
      </c>
      <c r="E8" s="23" t="s">
        <v>119</v>
      </c>
      <c r="F8" s="23" t="s">
        <v>120</v>
      </c>
      <c r="G8" s="32" t="s">
        <v>121</v>
      </c>
      <c r="H8" s="15"/>
      <c r="I8" s="15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4.4">
      <c r="A9" s="23" t="s">
        <v>125</v>
      </c>
      <c r="B9" s="23">
        <v>3</v>
      </c>
      <c r="C9" s="23" t="s">
        <v>126</v>
      </c>
      <c r="D9" s="23" t="s">
        <v>114</v>
      </c>
      <c r="E9" s="23" t="s">
        <v>115</v>
      </c>
      <c r="F9" s="23" t="s">
        <v>111</v>
      </c>
      <c r="G9" s="14"/>
      <c r="H9" s="15"/>
      <c r="I9" s="15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4.4">
      <c r="A10" s="22" t="s">
        <v>127</v>
      </c>
      <c r="B10" s="22">
        <v>4</v>
      </c>
      <c r="C10" s="22" t="s">
        <v>128</v>
      </c>
      <c r="D10" s="22" t="s">
        <v>129</v>
      </c>
      <c r="E10" s="22" t="s">
        <v>119</v>
      </c>
      <c r="F10" s="22" t="s">
        <v>120</v>
      </c>
      <c r="G10" s="33" t="s">
        <v>121</v>
      </c>
      <c r="H10" s="13"/>
      <c r="I10" s="13"/>
      <c r="J10" s="12"/>
      <c r="K10" s="12"/>
      <c r="L10" s="1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4.4">
      <c r="A11" s="23" t="s">
        <v>130</v>
      </c>
      <c r="B11" s="23">
        <v>4</v>
      </c>
      <c r="C11" s="23" t="s">
        <v>131</v>
      </c>
      <c r="D11" s="23" t="s">
        <v>132</v>
      </c>
      <c r="E11" s="23" t="s">
        <v>119</v>
      </c>
      <c r="F11" s="23" t="s">
        <v>120</v>
      </c>
      <c r="G11" s="32" t="s">
        <v>121</v>
      </c>
      <c r="H11" s="15"/>
      <c r="I11" s="15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8.8">
      <c r="A12" s="23" t="s">
        <v>133</v>
      </c>
      <c r="B12" s="23">
        <v>4</v>
      </c>
      <c r="C12" s="23" t="s">
        <v>134</v>
      </c>
      <c r="D12" s="23" t="s">
        <v>135</v>
      </c>
      <c r="E12" s="23" t="s">
        <v>119</v>
      </c>
      <c r="F12" s="23" t="s">
        <v>120</v>
      </c>
      <c r="G12" s="32" t="s">
        <v>121</v>
      </c>
      <c r="H12" s="15"/>
      <c r="I12" s="15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4.4">
      <c r="A13" s="23" t="s">
        <v>136</v>
      </c>
      <c r="B13" s="23">
        <v>3</v>
      </c>
      <c r="C13" s="23" t="s">
        <v>137</v>
      </c>
      <c r="D13" s="23" t="s">
        <v>114</v>
      </c>
      <c r="E13" s="23" t="s">
        <v>115</v>
      </c>
      <c r="F13" s="23" t="s">
        <v>111</v>
      </c>
      <c r="G13" s="14"/>
      <c r="H13" s="15"/>
      <c r="I13" s="15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4.4">
      <c r="A14" s="23" t="s">
        <v>138</v>
      </c>
      <c r="B14" s="23">
        <v>4</v>
      </c>
      <c r="C14" s="23" t="s">
        <v>139</v>
      </c>
      <c r="D14" s="23" t="s">
        <v>140</v>
      </c>
      <c r="E14" s="23" t="s">
        <v>119</v>
      </c>
      <c r="F14" s="23" t="s">
        <v>120</v>
      </c>
      <c r="G14" s="32" t="s">
        <v>121</v>
      </c>
      <c r="H14" s="15"/>
      <c r="I14" s="15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4.4">
      <c r="A15" s="23" t="s">
        <v>141</v>
      </c>
      <c r="B15" s="23">
        <v>4</v>
      </c>
      <c r="C15" s="23" t="s">
        <v>142</v>
      </c>
      <c r="D15" s="23" t="s">
        <v>143</v>
      </c>
      <c r="E15" s="23" t="s">
        <v>119</v>
      </c>
      <c r="F15" s="23" t="s">
        <v>120</v>
      </c>
      <c r="G15" s="32" t="s">
        <v>121</v>
      </c>
      <c r="H15" s="15"/>
      <c r="I15" s="15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4.4">
      <c r="A16" s="22" t="s">
        <v>144</v>
      </c>
      <c r="B16" s="22">
        <v>4</v>
      </c>
      <c r="C16" s="22" t="s">
        <v>145</v>
      </c>
      <c r="D16" s="22" t="s">
        <v>146</v>
      </c>
      <c r="E16" s="22" t="s">
        <v>119</v>
      </c>
      <c r="F16" s="22" t="s">
        <v>120</v>
      </c>
      <c r="G16" s="33" t="s">
        <v>121</v>
      </c>
      <c r="H16" s="13"/>
      <c r="I16" s="13"/>
      <c r="J16" s="12"/>
      <c r="K16" s="12"/>
      <c r="L16" s="1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4.4">
      <c r="A17" s="23" t="s">
        <v>147</v>
      </c>
      <c r="B17" s="23">
        <v>2</v>
      </c>
      <c r="C17" s="23" t="s">
        <v>148</v>
      </c>
      <c r="D17" s="23" t="s">
        <v>149</v>
      </c>
      <c r="E17" s="23" t="s">
        <v>110</v>
      </c>
      <c r="F17" s="23" t="s">
        <v>111</v>
      </c>
      <c r="G17" s="14"/>
      <c r="H17" s="15"/>
      <c r="I17" s="15"/>
      <c r="J17" s="14"/>
      <c r="K17" s="14"/>
      <c r="L17" s="1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4.4">
      <c r="A18" s="23" t="s">
        <v>150</v>
      </c>
      <c r="B18" s="23">
        <v>3</v>
      </c>
      <c r="C18" s="23" t="s">
        <v>151</v>
      </c>
      <c r="D18" s="23" t="s">
        <v>152</v>
      </c>
      <c r="E18" s="23" t="s">
        <v>115</v>
      </c>
      <c r="F18" s="23" t="s">
        <v>111</v>
      </c>
      <c r="G18" s="14"/>
      <c r="H18" s="15"/>
      <c r="I18" s="15"/>
      <c r="J18" s="14"/>
      <c r="K18" s="14"/>
      <c r="L18" s="1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4.4">
      <c r="A19" s="23" t="s">
        <v>153</v>
      </c>
      <c r="B19" s="23">
        <v>4</v>
      </c>
      <c r="C19" s="23" t="s">
        <v>154</v>
      </c>
      <c r="D19" s="23" t="s">
        <v>155</v>
      </c>
      <c r="E19" s="23" t="s">
        <v>119</v>
      </c>
      <c r="F19" s="23" t="s">
        <v>120</v>
      </c>
      <c r="G19" s="32" t="s">
        <v>121</v>
      </c>
      <c r="H19" s="15"/>
      <c r="I19" s="15"/>
      <c r="J19" s="14"/>
      <c r="K19" s="14"/>
      <c r="L19" s="1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4.4">
      <c r="A20" s="23" t="s">
        <v>156</v>
      </c>
      <c r="B20" s="23">
        <v>4</v>
      </c>
      <c r="C20" s="23" t="s">
        <v>157</v>
      </c>
      <c r="D20" s="23" t="s">
        <v>158</v>
      </c>
      <c r="E20" s="23" t="s">
        <v>119</v>
      </c>
      <c r="F20" s="23" t="s">
        <v>120</v>
      </c>
      <c r="G20" s="32" t="s">
        <v>121</v>
      </c>
      <c r="H20" s="15"/>
      <c r="I20" s="15"/>
      <c r="J20" s="14"/>
      <c r="K20" s="14"/>
      <c r="L20" s="1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2.6" customHeight="1">
      <c r="A21" s="23" t="s">
        <v>159</v>
      </c>
      <c r="B21" s="23">
        <v>3</v>
      </c>
      <c r="C21" s="23" t="s">
        <v>160</v>
      </c>
      <c r="D21" s="23" t="s">
        <v>152</v>
      </c>
      <c r="E21" s="23" t="s">
        <v>115</v>
      </c>
      <c r="F21" s="23" t="s">
        <v>111</v>
      </c>
      <c r="G21" s="14"/>
      <c r="H21" s="15"/>
      <c r="I21" s="15"/>
      <c r="J21" s="14"/>
      <c r="K21" s="14"/>
      <c r="L21" s="1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2.6" customHeight="1">
      <c r="A22" s="23" t="s">
        <v>161</v>
      </c>
      <c r="B22" s="23">
        <v>4</v>
      </c>
      <c r="C22" s="23" t="s">
        <v>162</v>
      </c>
      <c r="D22" s="23" t="s">
        <v>163</v>
      </c>
      <c r="E22" s="23" t="s">
        <v>119</v>
      </c>
      <c r="F22" s="23" t="s">
        <v>120</v>
      </c>
      <c r="G22" s="32" t="s">
        <v>121</v>
      </c>
      <c r="H22" s="15"/>
      <c r="I22" s="15"/>
      <c r="J22" s="14"/>
      <c r="K22" s="14"/>
      <c r="L22" s="1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2.6" customHeight="1">
      <c r="A23" s="23" t="s">
        <v>164</v>
      </c>
      <c r="B23" s="23">
        <v>4</v>
      </c>
      <c r="C23" s="23" t="s">
        <v>165</v>
      </c>
      <c r="D23" s="23" t="s">
        <v>166</v>
      </c>
      <c r="E23" s="23" t="s">
        <v>119</v>
      </c>
      <c r="F23" s="23" t="s">
        <v>120</v>
      </c>
      <c r="G23" s="32" t="s">
        <v>121</v>
      </c>
      <c r="H23" s="15"/>
      <c r="I23" s="15"/>
      <c r="J23" s="14"/>
      <c r="K23" s="14"/>
      <c r="L23" s="1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2.6" customHeight="1">
      <c r="A24" s="23" t="s">
        <v>167</v>
      </c>
      <c r="B24" s="23">
        <v>3</v>
      </c>
      <c r="C24" s="23" t="s">
        <v>168</v>
      </c>
      <c r="D24" s="23" t="s">
        <v>152</v>
      </c>
      <c r="E24" s="23" t="s">
        <v>115</v>
      </c>
      <c r="F24" s="23" t="s">
        <v>111</v>
      </c>
      <c r="G24" s="14"/>
      <c r="H24" s="15"/>
      <c r="I24" s="15"/>
      <c r="J24" s="14"/>
      <c r="K24" s="14"/>
      <c r="L24" s="1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2.6" customHeight="1">
      <c r="A25" s="23" t="s">
        <v>169</v>
      </c>
      <c r="B25" s="23">
        <v>4</v>
      </c>
      <c r="C25" s="23" t="s">
        <v>170</v>
      </c>
      <c r="D25" s="23" t="s">
        <v>171</v>
      </c>
      <c r="E25" s="23" t="s">
        <v>119</v>
      </c>
      <c r="F25" s="23" t="s">
        <v>120</v>
      </c>
      <c r="G25" s="32" t="s">
        <v>121</v>
      </c>
      <c r="H25" s="15"/>
      <c r="I25" s="15"/>
      <c r="J25" s="14"/>
      <c r="K25" s="14"/>
      <c r="L25" s="1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2.6" customHeight="1">
      <c r="A26" s="22" t="s">
        <v>172</v>
      </c>
      <c r="B26" s="22">
        <v>4</v>
      </c>
      <c r="C26" s="22" t="s">
        <v>173</v>
      </c>
      <c r="D26" s="22" t="s">
        <v>174</v>
      </c>
      <c r="E26" s="22" t="s">
        <v>119</v>
      </c>
      <c r="F26" s="22" t="s">
        <v>120</v>
      </c>
      <c r="G26" s="33" t="s">
        <v>121</v>
      </c>
      <c r="H26" s="13"/>
      <c r="I26" s="13"/>
      <c r="J26" s="12"/>
      <c r="K26" s="12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2.6" customHeight="1">
      <c r="A27" s="23" t="s">
        <v>175</v>
      </c>
      <c r="B27" s="23">
        <v>2</v>
      </c>
      <c r="C27" s="23" t="s">
        <v>176</v>
      </c>
      <c r="D27" s="23" t="s">
        <v>177</v>
      </c>
      <c r="E27" s="23" t="s">
        <v>110</v>
      </c>
      <c r="F27" s="23" t="s">
        <v>111</v>
      </c>
      <c r="G27" s="14"/>
      <c r="H27" s="15"/>
      <c r="I27" s="15"/>
      <c r="J27" s="14"/>
      <c r="K27" s="14"/>
      <c r="L27" s="1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2.6" customHeight="1">
      <c r="A28" s="23" t="s">
        <v>178</v>
      </c>
      <c r="B28" s="23">
        <v>3</v>
      </c>
      <c r="C28" s="23" t="s">
        <v>179</v>
      </c>
      <c r="D28" s="23" t="s">
        <v>180</v>
      </c>
      <c r="E28" s="23" t="s">
        <v>115</v>
      </c>
      <c r="F28" s="23" t="s">
        <v>111</v>
      </c>
      <c r="G28" s="14"/>
      <c r="H28" s="15"/>
      <c r="I28" s="15"/>
      <c r="J28" s="14"/>
      <c r="K28" s="14"/>
      <c r="L28" s="1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2.6" customHeight="1">
      <c r="A29" s="23" t="s">
        <v>181</v>
      </c>
      <c r="B29" s="23">
        <v>4</v>
      </c>
      <c r="C29" s="23" t="s">
        <v>182</v>
      </c>
      <c r="D29" s="23" t="s">
        <v>183</v>
      </c>
      <c r="E29" s="23" t="s">
        <v>119</v>
      </c>
      <c r="F29" s="23" t="s">
        <v>120</v>
      </c>
      <c r="G29" s="32" t="s">
        <v>121</v>
      </c>
      <c r="H29" s="15"/>
      <c r="I29" s="15"/>
      <c r="J29" s="14"/>
      <c r="K29" s="14"/>
      <c r="L29" s="1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2.6" customHeight="1">
      <c r="A30" s="23" t="s">
        <v>184</v>
      </c>
      <c r="B30" s="23">
        <v>4</v>
      </c>
      <c r="C30" s="23" t="s">
        <v>185</v>
      </c>
      <c r="D30" s="23" t="s">
        <v>186</v>
      </c>
      <c r="E30" s="23" t="s">
        <v>119</v>
      </c>
      <c r="F30" s="23" t="s">
        <v>120</v>
      </c>
      <c r="G30" s="32" t="s">
        <v>121</v>
      </c>
      <c r="H30" s="15"/>
      <c r="I30" s="15"/>
      <c r="J30" s="14"/>
      <c r="K30" s="14"/>
      <c r="L30" s="1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2.6" customHeight="1">
      <c r="A31" s="23" t="s">
        <v>187</v>
      </c>
      <c r="B31" s="23">
        <v>4</v>
      </c>
      <c r="C31" s="23" t="s">
        <v>188</v>
      </c>
      <c r="D31" s="23" t="s">
        <v>189</v>
      </c>
      <c r="E31" s="23" t="s">
        <v>119</v>
      </c>
      <c r="F31" s="23" t="s">
        <v>120</v>
      </c>
      <c r="G31" s="32" t="s">
        <v>121</v>
      </c>
      <c r="H31" s="15"/>
      <c r="I31" s="15"/>
      <c r="J31" s="14"/>
      <c r="K31" s="14"/>
      <c r="L31" s="1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2.6" customHeight="1">
      <c r="A32" s="23" t="s">
        <v>190</v>
      </c>
      <c r="B32" s="23">
        <v>3</v>
      </c>
      <c r="C32" s="23" t="s">
        <v>191</v>
      </c>
      <c r="D32" s="23" t="s">
        <v>180</v>
      </c>
      <c r="E32" s="23" t="s">
        <v>115</v>
      </c>
      <c r="F32" s="23" t="s">
        <v>111</v>
      </c>
      <c r="G32" s="14"/>
      <c r="H32" s="15"/>
      <c r="I32" s="15"/>
      <c r="J32" s="14"/>
      <c r="K32" s="14"/>
      <c r="L32" s="1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2.6" customHeight="1">
      <c r="A33" s="22" t="s">
        <v>192</v>
      </c>
      <c r="B33" s="22">
        <v>4</v>
      </c>
      <c r="C33" s="22" t="s">
        <v>193</v>
      </c>
      <c r="D33" s="22" t="s">
        <v>194</v>
      </c>
      <c r="E33" s="22" t="s">
        <v>119</v>
      </c>
      <c r="F33" s="22" t="s">
        <v>120</v>
      </c>
      <c r="G33" s="33" t="s">
        <v>121</v>
      </c>
      <c r="H33" s="13"/>
      <c r="I33" s="13"/>
      <c r="J33" s="12"/>
      <c r="K33" s="12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2.6" customHeight="1">
      <c r="A34" s="23" t="s">
        <v>195</v>
      </c>
      <c r="B34" s="23">
        <v>4</v>
      </c>
      <c r="C34" s="23" t="s">
        <v>196</v>
      </c>
      <c r="D34" s="23" t="s">
        <v>197</v>
      </c>
      <c r="E34" s="23" t="s">
        <v>119</v>
      </c>
      <c r="F34" s="23" t="s">
        <v>120</v>
      </c>
      <c r="G34" s="32" t="s">
        <v>121</v>
      </c>
      <c r="H34" s="15"/>
      <c r="I34" s="15"/>
      <c r="J34" s="14"/>
      <c r="K34" s="14"/>
      <c r="L34" s="1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2.6" customHeight="1">
      <c r="A35" s="23" t="s">
        <v>198</v>
      </c>
      <c r="B35" s="23">
        <v>3</v>
      </c>
      <c r="C35" s="23" t="s">
        <v>199</v>
      </c>
      <c r="D35" s="23" t="s">
        <v>180</v>
      </c>
      <c r="E35" s="23" t="s">
        <v>115</v>
      </c>
      <c r="F35" s="23" t="s">
        <v>111</v>
      </c>
      <c r="G35" s="14"/>
      <c r="H35" s="15"/>
      <c r="I35" s="15"/>
      <c r="J35" s="14"/>
      <c r="K35" s="14"/>
      <c r="L35" s="1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2.6" customHeight="1">
      <c r="A36" s="23" t="s">
        <v>200</v>
      </c>
      <c r="B36" s="23">
        <v>4</v>
      </c>
      <c r="C36" s="23" t="s">
        <v>201</v>
      </c>
      <c r="D36" s="23" t="s">
        <v>202</v>
      </c>
      <c r="E36" s="23" t="s">
        <v>119</v>
      </c>
      <c r="F36" s="23" t="s">
        <v>120</v>
      </c>
      <c r="G36" s="32" t="s">
        <v>121</v>
      </c>
      <c r="H36" s="15"/>
      <c r="I36" s="15"/>
      <c r="J36" s="14"/>
      <c r="K36" s="14"/>
      <c r="L36" s="1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2.6" customHeight="1">
      <c r="A37" s="23" t="s">
        <v>203</v>
      </c>
      <c r="B37" s="23">
        <v>4</v>
      </c>
      <c r="C37" s="23" t="s">
        <v>204</v>
      </c>
      <c r="D37" s="23" t="s">
        <v>205</v>
      </c>
      <c r="E37" s="23" t="s">
        <v>119</v>
      </c>
      <c r="F37" s="23" t="s">
        <v>120</v>
      </c>
      <c r="G37" s="32" t="s">
        <v>121</v>
      </c>
      <c r="H37" s="15"/>
      <c r="I37" s="15"/>
      <c r="J37" s="14"/>
      <c r="K37" s="14"/>
      <c r="L37" s="1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2.6" customHeight="1">
      <c r="A38" s="23" t="s">
        <v>206</v>
      </c>
      <c r="B38" s="23">
        <v>4</v>
      </c>
      <c r="C38" s="23" t="s">
        <v>207</v>
      </c>
      <c r="D38" s="23" t="s">
        <v>208</v>
      </c>
      <c r="E38" s="23" t="s">
        <v>119</v>
      </c>
      <c r="F38" s="23" t="s">
        <v>120</v>
      </c>
      <c r="G38" s="32" t="s">
        <v>121</v>
      </c>
      <c r="H38" s="15"/>
      <c r="I38" s="15"/>
      <c r="J38" s="14"/>
      <c r="K38" s="14"/>
      <c r="L38" s="1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2.6" customHeight="1">
      <c r="A39" s="23" t="s">
        <v>209</v>
      </c>
      <c r="B39" s="23">
        <v>2</v>
      </c>
      <c r="C39" s="23" t="s">
        <v>210</v>
      </c>
      <c r="D39" s="23" t="s">
        <v>211</v>
      </c>
      <c r="E39" s="23" t="s">
        <v>110</v>
      </c>
      <c r="F39" s="23" t="s">
        <v>111</v>
      </c>
      <c r="G39" s="14"/>
      <c r="H39" s="15"/>
      <c r="I39" s="15"/>
      <c r="J39" s="14"/>
      <c r="K39" s="14"/>
      <c r="L39" s="1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2.6" customHeight="1">
      <c r="A40" s="23" t="s">
        <v>212</v>
      </c>
      <c r="B40" s="23">
        <v>3</v>
      </c>
      <c r="C40" s="23" t="s">
        <v>213</v>
      </c>
      <c r="D40" s="23" t="s">
        <v>214</v>
      </c>
      <c r="E40" s="23" t="s">
        <v>115</v>
      </c>
      <c r="F40" s="23" t="s">
        <v>111</v>
      </c>
      <c r="G40" s="14"/>
      <c r="H40" s="15"/>
      <c r="I40" s="15"/>
      <c r="J40" s="14"/>
      <c r="K40" s="14"/>
      <c r="L40" s="1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2.6" customHeight="1">
      <c r="A41" s="22" t="s">
        <v>215</v>
      </c>
      <c r="B41" s="22">
        <v>4</v>
      </c>
      <c r="C41" s="22" t="s">
        <v>216</v>
      </c>
      <c r="D41" s="22" t="s">
        <v>217</v>
      </c>
      <c r="E41" s="22" t="s">
        <v>119</v>
      </c>
      <c r="F41" s="22" t="s">
        <v>120</v>
      </c>
      <c r="G41" s="33" t="s">
        <v>121</v>
      </c>
      <c r="H41" s="13"/>
      <c r="I41" s="13"/>
      <c r="J41" s="12"/>
      <c r="K41" s="12"/>
      <c r="L41" s="1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2.6" customHeight="1">
      <c r="A42" s="23" t="s">
        <v>218</v>
      </c>
      <c r="B42" s="23">
        <v>4</v>
      </c>
      <c r="C42" s="23" t="s">
        <v>219</v>
      </c>
      <c r="D42" s="23" t="s">
        <v>220</v>
      </c>
      <c r="E42" s="23" t="s">
        <v>119</v>
      </c>
      <c r="F42" s="23" t="s">
        <v>120</v>
      </c>
      <c r="G42" s="32" t="s">
        <v>121</v>
      </c>
      <c r="H42" s="15"/>
      <c r="I42" s="15"/>
      <c r="J42" s="14"/>
      <c r="K42" s="14"/>
      <c r="L42" s="1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2.6" customHeight="1">
      <c r="A43" s="23" t="s">
        <v>221</v>
      </c>
      <c r="B43" s="23">
        <v>4</v>
      </c>
      <c r="C43" s="23" t="s">
        <v>222</v>
      </c>
      <c r="D43" s="23" t="s">
        <v>223</v>
      </c>
      <c r="E43" s="23" t="s">
        <v>119</v>
      </c>
      <c r="F43" s="23" t="s">
        <v>120</v>
      </c>
      <c r="G43" s="32" t="s">
        <v>121</v>
      </c>
      <c r="H43" s="15"/>
      <c r="I43" s="15"/>
      <c r="J43" s="14"/>
      <c r="K43" s="14"/>
      <c r="L43" s="1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2.6" customHeight="1">
      <c r="A44" s="23" t="s">
        <v>224</v>
      </c>
      <c r="B44" s="23">
        <v>3</v>
      </c>
      <c r="C44" s="23" t="s">
        <v>225</v>
      </c>
      <c r="D44" s="23" t="s">
        <v>214</v>
      </c>
      <c r="E44" s="23" t="s">
        <v>115</v>
      </c>
      <c r="F44" s="23" t="s">
        <v>111</v>
      </c>
      <c r="G44" s="14"/>
      <c r="H44" s="15"/>
      <c r="I44" s="15"/>
      <c r="J44" s="14"/>
      <c r="K44" s="14"/>
      <c r="L44" s="1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2.6" customHeight="1">
      <c r="A45" s="23" t="s">
        <v>226</v>
      </c>
      <c r="B45" s="23">
        <v>4</v>
      </c>
      <c r="C45" s="23" t="s">
        <v>227</v>
      </c>
      <c r="D45" s="23" t="s">
        <v>228</v>
      </c>
      <c r="E45" s="23" t="s">
        <v>119</v>
      </c>
      <c r="F45" s="23" t="s">
        <v>120</v>
      </c>
      <c r="G45" s="32" t="s">
        <v>121</v>
      </c>
      <c r="H45" s="15"/>
      <c r="I45" s="15"/>
      <c r="J45" s="14"/>
      <c r="K45" s="14"/>
      <c r="L45" s="1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2.6" customHeight="1">
      <c r="A46" s="23" t="s">
        <v>229</v>
      </c>
      <c r="B46" s="23">
        <v>4</v>
      </c>
      <c r="C46" s="23" t="s">
        <v>230</v>
      </c>
      <c r="D46" s="23" t="s">
        <v>231</v>
      </c>
      <c r="E46" s="23" t="s">
        <v>119</v>
      </c>
      <c r="F46" s="23" t="s">
        <v>120</v>
      </c>
      <c r="G46" s="32" t="s">
        <v>121</v>
      </c>
      <c r="H46" s="15"/>
      <c r="I46" s="15"/>
      <c r="J46" s="14"/>
      <c r="K46" s="14"/>
      <c r="L46" s="1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2.6" customHeight="1">
      <c r="A47" s="23" t="s">
        <v>232</v>
      </c>
      <c r="B47" s="23">
        <v>4</v>
      </c>
      <c r="C47" s="23" t="s">
        <v>233</v>
      </c>
      <c r="D47" s="23" t="s">
        <v>234</v>
      </c>
      <c r="E47" s="23" t="s">
        <v>119</v>
      </c>
      <c r="F47" s="23" t="s">
        <v>120</v>
      </c>
      <c r="G47" s="32" t="s">
        <v>121</v>
      </c>
      <c r="H47" s="15"/>
      <c r="I47" s="15"/>
      <c r="J47" s="14"/>
      <c r="K47" s="14"/>
      <c r="L47" s="1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2.6" customHeight="1">
      <c r="A48" s="23" t="s">
        <v>235</v>
      </c>
      <c r="B48" s="23">
        <v>3</v>
      </c>
      <c r="C48" s="23" t="s">
        <v>236</v>
      </c>
      <c r="D48" s="23" t="s">
        <v>214</v>
      </c>
      <c r="E48" s="23" t="s">
        <v>115</v>
      </c>
      <c r="F48" s="23" t="s">
        <v>111</v>
      </c>
      <c r="G48" s="14"/>
      <c r="H48" s="15"/>
      <c r="I48" s="15"/>
      <c r="J48" s="14"/>
      <c r="K48" s="14"/>
      <c r="L48" s="1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2.6" customHeight="1">
      <c r="A49" s="23" t="s">
        <v>237</v>
      </c>
      <c r="B49" s="23">
        <v>4</v>
      </c>
      <c r="C49" s="23" t="s">
        <v>238</v>
      </c>
      <c r="D49" s="23" t="s">
        <v>239</v>
      </c>
      <c r="E49" s="23" t="s">
        <v>119</v>
      </c>
      <c r="F49" s="23" t="s">
        <v>120</v>
      </c>
      <c r="G49" s="32" t="s">
        <v>121</v>
      </c>
      <c r="H49" s="15"/>
      <c r="I49" s="15"/>
      <c r="J49" s="14"/>
      <c r="K49" s="14"/>
      <c r="L49" s="1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2.6" customHeight="1">
      <c r="A50" s="22" t="s">
        <v>240</v>
      </c>
      <c r="B50" s="22">
        <v>4</v>
      </c>
      <c r="C50" s="22" t="s">
        <v>241</v>
      </c>
      <c r="D50" s="22" t="s">
        <v>242</v>
      </c>
      <c r="E50" s="22" t="s">
        <v>119</v>
      </c>
      <c r="F50" s="22" t="s">
        <v>120</v>
      </c>
      <c r="G50" s="33" t="s">
        <v>121</v>
      </c>
      <c r="H50" s="13"/>
      <c r="I50" s="13"/>
      <c r="J50" s="12"/>
      <c r="K50" s="12"/>
      <c r="L50" s="1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2.6" customHeight="1">
      <c r="A51" s="23" t="s">
        <v>243</v>
      </c>
      <c r="B51" s="23">
        <v>2</v>
      </c>
      <c r="C51" s="23" t="s">
        <v>244</v>
      </c>
      <c r="D51" s="23" t="s">
        <v>245</v>
      </c>
      <c r="E51" s="23" t="s">
        <v>110</v>
      </c>
      <c r="F51" s="23" t="s">
        <v>111</v>
      </c>
      <c r="G51" s="14"/>
      <c r="H51" s="15"/>
      <c r="I51" s="15"/>
      <c r="J51" s="14"/>
      <c r="K51" s="14"/>
      <c r="L51" s="1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2.6" customHeight="1">
      <c r="A52" s="23" t="s">
        <v>246</v>
      </c>
      <c r="B52" s="23">
        <v>3</v>
      </c>
      <c r="C52" s="23" t="s">
        <v>247</v>
      </c>
      <c r="D52" s="23" t="s">
        <v>248</v>
      </c>
      <c r="E52" s="23" t="s">
        <v>115</v>
      </c>
      <c r="F52" s="23" t="s">
        <v>111</v>
      </c>
      <c r="G52" s="14"/>
      <c r="H52" s="15"/>
      <c r="I52" s="15"/>
      <c r="J52" s="14"/>
      <c r="K52" s="14"/>
      <c r="L52" s="1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2.6" customHeight="1">
      <c r="A53" s="23" t="s">
        <v>249</v>
      </c>
      <c r="B53" s="23">
        <v>4</v>
      </c>
      <c r="C53" s="23" t="s">
        <v>250</v>
      </c>
      <c r="D53" s="23" t="s">
        <v>251</v>
      </c>
      <c r="E53" s="23" t="s">
        <v>119</v>
      </c>
      <c r="F53" s="23" t="s">
        <v>120</v>
      </c>
      <c r="G53" s="32" t="s">
        <v>121</v>
      </c>
      <c r="H53" s="15"/>
      <c r="I53" s="15"/>
      <c r="J53" s="14"/>
      <c r="K53" s="14"/>
      <c r="L53" s="1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2.6" customHeight="1">
      <c r="A54" s="23" t="s">
        <v>252</v>
      </c>
      <c r="B54" s="23">
        <v>4</v>
      </c>
      <c r="C54" s="23" t="s">
        <v>253</v>
      </c>
      <c r="D54" s="23" t="s">
        <v>254</v>
      </c>
      <c r="E54" s="23" t="s">
        <v>119</v>
      </c>
      <c r="F54" s="23" t="s">
        <v>120</v>
      </c>
      <c r="G54" s="32" t="s">
        <v>121</v>
      </c>
      <c r="H54" s="15"/>
      <c r="I54" s="15"/>
      <c r="J54" s="14"/>
      <c r="K54" s="14"/>
      <c r="L54" s="1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2.6" customHeight="1">
      <c r="A55" s="23" t="s">
        <v>255</v>
      </c>
      <c r="B55" s="23">
        <v>3</v>
      </c>
      <c r="C55" s="23" t="s">
        <v>256</v>
      </c>
      <c r="D55" s="23" t="s">
        <v>248</v>
      </c>
      <c r="E55" s="23" t="s">
        <v>115</v>
      </c>
      <c r="F55" s="23" t="s">
        <v>111</v>
      </c>
      <c r="G55" s="14"/>
      <c r="H55" s="15"/>
      <c r="I55" s="15"/>
      <c r="J55" s="14"/>
      <c r="K55" s="14"/>
      <c r="L55" s="1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2.6" customHeight="1">
      <c r="A56" s="23" t="s">
        <v>257</v>
      </c>
      <c r="B56" s="23">
        <v>4</v>
      </c>
      <c r="C56" s="23" t="s">
        <v>258</v>
      </c>
      <c r="D56" s="23" t="s">
        <v>259</v>
      </c>
      <c r="E56" s="23" t="s">
        <v>119</v>
      </c>
      <c r="F56" s="23" t="s">
        <v>120</v>
      </c>
      <c r="G56" s="32" t="s">
        <v>121</v>
      </c>
      <c r="H56" s="15"/>
      <c r="I56" s="15"/>
      <c r="J56" s="14"/>
      <c r="K56" s="14"/>
      <c r="L56" s="1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6" customHeight="1">
      <c r="A57" s="23" t="s">
        <v>260</v>
      </c>
      <c r="B57" s="23">
        <v>4</v>
      </c>
      <c r="C57" s="23" t="s">
        <v>261</v>
      </c>
      <c r="D57" s="23" t="s">
        <v>262</v>
      </c>
      <c r="E57" s="23" t="s">
        <v>119</v>
      </c>
      <c r="F57" s="23" t="s">
        <v>120</v>
      </c>
      <c r="G57" s="32" t="s">
        <v>121</v>
      </c>
      <c r="H57" s="15"/>
      <c r="I57" s="15"/>
      <c r="J57" s="14"/>
      <c r="K57" s="14"/>
      <c r="L57" s="1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6" customHeight="1">
      <c r="A58" s="22" t="s">
        <v>263</v>
      </c>
      <c r="B58" s="22">
        <v>3</v>
      </c>
      <c r="C58" s="22" t="s">
        <v>264</v>
      </c>
      <c r="D58" s="22" t="s">
        <v>248</v>
      </c>
      <c r="E58" s="22" t="s">
        <v>115</v>
      </c>
      <c r="F58" s="22" t="s">
        <v>111</v>
      </c>
      <c r="G58" s="12"/>
      <c r="H58" s="13"/>
      <c r="I58" s="13"/>
      <c r="J58" s="12"/>
      <c r="K58" s="12"/>
      <c r="L58" s="1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6" customHeight="1">
      <c r="A59" s="23" t="s">
        <v>265</v>
      </c>
      <c r="B59" s="23">
        <v>4</v>
      </c>
      <c r="C59" s="23" t="s">
        <v>266</v>
      </c>
      <c r="D59" s="23" t="s">
        <v>267</v>
      </c>
      <c r="E59" s="23" t="s">
        <v>119</v>
      </c>
      <c r="F59" s="23" t="s">
        <v>120</v>
      </c>
      <c r="G59" s="32" t="s">
        <v>121</v>
      </c>
      <c r="H59" s="15"/>
      <c r="I59" s="15"/>
      <c r="J59" s="14"/>
      <c r="K59" s="14"/>
      <c r="L59" s="1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6" customHeight="1">
      <c r="A60" s="23" t="s">
        <v>268</v>
      </c>
      <c r="B60" s="23">
        <v>4</v>
      </c>
      <c r="C60" s="23" t="s">
        <v>269</v>
      </c>
      <c r="D60" s="23" t="s">
        <v>270</v>
      </c>
      <c r="E60" s="23" t="s">
        <v>119</v>
      </c>
      <c r="F60" s="23" t="s">
        <v>120</v>
      </c>
      <c r="G60" s="32" t="s">
        <v>121</v>
      </c>
      <c r="H60" s="15"/>
      <c r="I60" s="15"/>
      <c r="J60" s="14"/>
      <c r="K60" s="14"/>
      <c r="L60" s="1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6" customHeight="1">
      <c r="A61" s="14"/>
      <c r="B61" s="14"/>
      <c r="C61" s="14"/>
      <c r="D61" s="14"/>
      <c r="E61" s="14"/>
      <c r="F61" s="14"/>
      <c r="G61" s="14"/>
      <c r="H61" s="15"/>
      <c r="I61" s="15"/>
      <c r="J61" s="14"/>
      <c r="K61" s="14"/>
      <c r="L61" s="1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6" customHeight="1">
      <c r="A62" s="14"/>
      <c r="B62" s="14"/>
      <c r="C62" s="14"/>
      <c r="D62" s="14"/>
      <c r="E62" s="14"/>
      <c r="F62" s="14"/>
      <c r="G62" s="14"/>
      <c r="H62" s="15"/>
      <c r="I62" s="15"/>
      <c r="J62" s="14"/>
      <c r="K62" s="14"/>
      <c r="L62" s="1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6" customHeight="1">
      <c r="A63" s="14"/>
      <c r="B63" s="14"/>
      <c r="C63" s="14"/>
      <c r="D63" s="14"/>
      <c r="E63" s="14"/>
      <c r="F63" s="14"/>
      <c r="G63" s="14"/>
      <c r="H63" s="15"/>
      <c r="I63" s="15"/>
      <c r="J63" s="14"/>
      <c r="K63" s="14"/>
      <c r="L63" s="1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6" customHeight="1">
      <c r="A64" s="14"/>
      <c r="B64" s="14"/>
      <c r="C64" s="14"/>
      <c r="D64" s="14"/>
      <c r="E64" s="14"/>
      <c r="F64" s="14"/>
      <c r="G64" s="14"/>
      <c r="H64" s="15"/>
      <c r="I64" s="15"/>
      <c r="J64" s="14"/>
      <c r="K64" s="14"/>
      <c r="L64" s="1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6" customHeight="1">
      <c r="A65" s="14"/>
      <c r="B65" s="14"/>
      <c r="C65" s="14"/>
      <c r="D65" s="14"/>
      <c r="E65" s="14"/>
      <c r="F65" s="14"/>
      <c r="G65" s="14"/>
      <c r="H65" s="15"/>
      <c r="I65" s="15"/>
      <c r="J65" s="14"/>
      <c r="K65" s="14"/>
      <c r="L65" s="1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6" customHeight="1">
      <c r="A66" s="14"/>
      <c r="B66" s="14"/>
      <c r="C66" s="14"/>
      <c r="D66" s="14"/>
      <c r="E66" s="14"/>
      <c r="F66" s="14"/>
      <c r="G66" s="14"/>
      <c r="H66" s="15"/>
      <c r="I66" s="15"/>
      <c r="J66" s="14"/>
      <c r="K66" s="14"/>
      <c r="L66" s="1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6" customHeight="1">
      <c r="A67" s="12"/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6" customHeight="1">
      <c r="A68" s="14"/>
      <c r="B68" s="14"/>
      <c r="C68" s="14"/>
      <c r="D68" s="14"/>
      <c r="E68" s="14"/>
      <c r="F68" s="14"/>
      <c r="G68" s="14"/>
      <c r="H68" s="15"/>
      <c r="I68" s="15"/>
      <c r="J68" s="14"/>
      <c r="K68" s="14"/>
      <c r="L68" s="1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6" customHeight="1">
      <c r="A69" s="14"/>
      <c r="B69" s="14"/>
      <c r="C69" s="14"/>
      <c r="D69" s="14"/>
      <c r="E69" s="14"/>
      <c r="F69" s="14"/>
      <c r="G69" s="14"/>
      <c r="H69" s="15"/>
      <c r="I69" s="15"/>
      <c r="J69" s="14"/>
      <c r="K69" s="14"/>
      <c r="L69" s="1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6" customHeight="1">
      <c r="A70" s="14"/>
      <c r="B70" s="14"/>
      <c r="C70" s="14"/>
      <c r="D70" s="14"/>
      <c r="E70" s="14"/>
      <c r="F70" s="14"/>
      <c r="G70" s="14"/>
      <c r="H70" s="15"/>
      <c r="I70" s="15"/>
      <c r="J70" s="14"/>
      <c r="K70" s="14"/>
      <c r="L70" s="1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6" customHeight="1">
      <c r="A71" s="14"/>
      <c r="B71" s="14"/>
      <c r="C71" s="14"/>
      <c r="D71" s="14"/>
      <c r="E71" s="14"/>
      <c r="F71" s="14"/>
      <c r="G71" s="14"/>
      <c r="H71" s="15"/>
      <c r="I71" s="15"/>
      <c r="J71" s="14"/>
      <c r="K71" s="14"/>
      <c r="L71" s="1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6" customHeight="1">
      <c r="A72" s="14"/>
      <c r="B72" s="14"/>
      <c r="C72" s="14"/>
      <c r="D72" s="14"/>
      <c r="E72" s="14"/>
      <c r="F72" s="14"/>
      <c r="G72" s="14"/>
      <c r="H72" s="15"/>
      <c r="I72" s="15"/>
      <c r="J72" s="14"/>
      <c r="K72" s="14"/>
      <c r="L72" s="1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6" customHeight="1">
      <c r="A73" s="14"/>
      <c r="B73" s="14"/>
      <c r="C73" s="14"/>
      <c r="D73" s="14"/>
      <c r="E73" s="14"/>
      <c r="F73" s="14"/>
      <c r="G73" s="14"/>
      <c r="H73" s="15"/>
      <c r="I73" s="15"/>
      <c r="J73" s="14"/>
      <c r="K73" s="14"/>
      <c r="L73" s="1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6" customHeight="1">
      <c r="A74" s="14"/>
      <c r="B74" s="14"/>
      <c r="C74" s="14"/>
      <c r="D74" s="14"/>
      <c r="E74" s="14"/>
      <c r="F74" s="14"/>
      <c r="G74" s="14"/>
      <c r="H74" s="15"/>
      <c r="I74" s="15"/>
      <c r="J74" s="14"/>
      <c r="K74" s="14"/>
      <c r="L74" s="1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6" customHeight="1">
      <c r="A75" s="14"/>
      <c r="B75" s="14"/>
      <c r="C75" s="14"/>
      <c r="D75" s="14"/>
      <c r="E75" s="14"/>
      <c r="F75" s="14"/>
      <c r="G75" s="14"/>
      <c r="H75" s="15"/>
      <c r="I75" s="15"/>
      <c r="J75" s="14"/>
      <c r="K75" s="14"/>
      <c r="L75" s="1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6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6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6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6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6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6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6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6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6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6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6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6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6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6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6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6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6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6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6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6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6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6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6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6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6" customHeight="1"/>
    <row r="102" spans="1:32" ht="12.6" customHeight="1"/>
    <row r="103" spans="1:32" ht="12.6" customHeight="1"/>
    <row r="104" spans="1:32" ht="12.6" customHeight="1"/>
    <row r="105" spans="1:32" ht="12.6" customHeight="1"/>
    <row r="106" spans="1:32" ht="12.6" customHeight="1"/>
    <row r="107" spans="1:32" ht="12.6" customHeight="1"/>
    <row r="108" spans="1:32" ht="12.6" customHeight="1"/>
    <row r="109" spans="1:32" ht="12.6" customHeight="1"/>
    <row r="110" spans="1:32" ht="12.6" customHeight="1"/>
    <row r="111" spans="1:32" ht="12.6" customHeight="1"/>
    <row r="112" spans="1:32" ht="12.6" customHeight="1"/>
    <row r="113" ht="12.6" customHeight="1"/>
    <row r="114" ht="12.6" customHeight="1"/>
    <row r="115" ht="12.6" customHeight="1"/>
    <row r="116" ht="12.6" customHeight="1"/>
    <row r="117" ht="12.6" customHeight="1"/>
    <row r="118" ht="12.6" customHeight="1"/>
    <row r="119" ht="12.6" customHeight="1"/>
    <row r="120" ht="12.6" customHeight="1"/>
    <row r="121" ht="12.6" customHeight="1"/>
    <row r="122" ht="12.6" customHeight="1"/>
    <row r="123" ht="12.6" customHeight="1"/>
    <row r="124" ht="12.6" customHeight="1"/>
    <row r="125" ht="12.6" customHeight="1"/>
    <row r="126" ht="12.6" customHeight="1"/>
    <row r="127" ht="12.6" customHeight="1"/>
    <row r="128" ht="12.6" customHeight="1"/>
    <row r="129" ht="12.6" customHeight="1"/>
    <row r="130" ht="12.6" customHeight="1"/>
    <row r="131" ht="12.6" customHeight="1"/>
    <row r="132" ht="12.6" customHeight="1"/>
    <row r="133" ht="12.6" customHeight="1"/>
    <row r="134" ht="12.6" customHeight="1"/>
    <row r="135" ht="12.6" customHeight="1"/>
    <row r="136" ht="12.6" customHeight="1"/>
    <row r="137" ht="12.6" customHeight="1"/>
    <row r="138" ht="12.6" customHeight="1"/>
    <row r="139" ht="12.6" customHeight="1"/>
    <row r="140" ht="12.6" customHeight="1"/>
    <row r="141" ht="12.6" customHeight="1"/>
    <row r="142" ht="12.6" customHeight="1"/>
    <row r="143" ht="12.6" customHeight="1"/>
    <row r="144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</sheetData>
  <mergeCells count="1">
    <mergeCell ref="A1:F1"/>
  </mergeCells>
  <conditionalFormatting sqref="K2 K8:K75">
    <cfRule type="expression" dxfId="8" priority="7">
      <formula>K2="Completado"</formula>
    </cfRule>
  </conditionalFormatting>
  <conditionalFormatting sqref="K2 K8:K75">
    <cfRule type="expression" dxfId="7" priority="8">
      <formula>K2="En curso"</formula>
    </cfRule>
  </conditionalFormatting>
  <conditionalFormatting sqref="K2 K8:K75">
    <cfRule type="expression" dxfId="6" priority="9">
      <formula>K2="Bloqueado"</formula>
    </cfRule>
  </conditionalFormatting>
  <conditionalFormatting sqref="K4:K7">
    <cfRule type="expression" dxfId="5" priority="4">
      <formula>K4="Completado"</formula>
    </cfRule>
  </conditionalFormatting>
  <conditionalFormatting sqref="K4:K7">
    <cfRule type="expression" dxfId="4" priority="5">
      <formula>K4="En curso"</formula>
    </cfRule>
  </conditionalFormatting>
  <conditionalFormatting sqref="K4:K7">
    <cfRule type="expression" dxfId="3" priority="6">
      <formula>K4="Bloqueado"</formula>
    </cfRule>
  </conditionalFormatting>
  <conditionalFormatting sqref="K3">
    <cfRule type="expression" dxfId="2" priority="1">
      <formula>K3="Completado"</formula>
    </cfRule>
  </conditionalFormatting>
  <conditionalFormatting sqref="K3">
    <cfRule type="expression" dxfId="1" priority="2">
      <formula>K3="En curso"</formula>
    </cfRule>
  </conditionalFormatting>
  <conditionalFormatting sqref="K3">
    <cfRule type="expression" dxfId="0" priority="3">
      <formula>K3="Bloqueado"</formula>
    </cfRule>
  </conditionalFormatting>
  <dataValidations count="3">
    <dataValidation type="list" allowBlank="1" sqref="F2:F75" xr:uid="{00000000-0002-0000-0100-000000000000}">
      <formula1>"Por asignar,Francisco Ossandón,Fernanda Fernández,Ashly Tapia,Equipo Capstone"</formula1>
    </dataValidation>
    <dataValidation type="list" allowBlank="1" sqref="K2:K75" xr:uid="{00000000-0002-0000-0100-000001000000}">
      <formula1>"Planificado,En curso,Bloqueado,Completado"</formula1>
    </dataValidation>
    <dataValidation type="list" sqref="G59:G60 G56:G57 G53:G54 G49:G50 G45:G47 G41:G43 G36:G38 G33:G34 G29:G31 G25:G26 G22:G23 G19:G20 G14:G16 G10:G12 G7:G8" xr:uid="{00000000-0002-0000-0100-000002000000}">
      <formula1>"Planificado,En curso,Completado,Bloqueado"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H2"/>
    </sheetView>
  </sheetViews>
  <sheetFormatPr baseColWidth="10" defaultColWidth="12.59765625" defaultRowHeight="13.8"/>
  <cols>
    <col min="1" max="1" width="31" customWidth="1"/>
    <col min="2" max="2" width="12" customWidth="1"/>
    <col min="3" max="3" width="8.59765625" customWidth="1"/>
    <col min="4" max="4" width="18" customWidth="1"/>
    <col min="5" max="5" width="12" customWidth="1"/>
    <col min="6" max="26" width="8.59765625" customWidth="1"/>
  </cols>
  <sheetData>
    <row r="1" spans="1:26" ht="14.4">
      <c r="A1" s="178" t="s">
        <v>0</v>
      </c>
      <c r="B1" s="179"/>
      <c r="C1" s="179"/>
      <c r="D1" s="179"/>
      <c r="E1" s="179"/>
      <c r="F1" s="180"/>
      <c r="G1" s="180"/>
      <c r="H1" s="18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179"/>
      <c r="B2" s="179"/>
      <c r="C2" s="179"/>
      <c r="D2" s="179"/>
      <c r="E2" s="179"/>
      <c r="F2" s="182"/>
      <c r="G2" s="182"/>
      <c r="H2" s="18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21"/>
      <c r="B3" s="21"/>
      <c r="C3" s="21"/>
      <c r="D3" s="21"/>
      <c r="E3" s="2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20" t="s">
        <v>1</v>
      </c>
      <c r="B4" s="20" t="s">
        <v>2</v>
      </c>
      <c r="C4" s="21"/>
      <c r="D4" s="20" t="s">
        <v>3</v>
      </c>
      <c r="E4" s="20" t="s">
        <v>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21" t="s">
        <v>271</v>
      </c>
      <c r="B5" s="21">
        <f>COUNTIF('Diccionario EDT'!$B$4:$B$100,4)</f>
        <v>36</v>
      </c>
      <c r="C5" s="21"/>
      <c r="D5" s="21" t="s">
        <v>121</v>
      </c>
      <c r="E5" s="21">
        <f>B6</f>
        <v>36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21" t="s">
        <v>5</v>
      </c>
      <c r="B6" s="21">
        <f>COUNTIF('Diccionario EDT'!$G$4:$G$100,"Planificado")</f>
        <v>36</v>
      </c>
      <c r="C6" s="21"/>
      <c r="D6" s="21" t="s">
        <v>6</v>
      </c>
      <c r="E6" s="21">
        <f>B7</f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21" t="s">
        <v>6</v>
      </c>
      <c r="B7" s="21">
        <f>COUNTIF('Diccionario EDT'!$G$4:$G$100,"En curso")</f>
        <v>0</v>
      </c>
      <c r="C7" s="21"/>
      <c r="D7" s="21" t="s">
        <v>272</v>
      </c>
      <c r="E7" s="21">
        <f>B8</f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21" t="s">
        <v>7</v>
      </c>
      <c r="B8" s="21">
        <f>COUNTIF('Diccionario EDT'!$G$4:$G$100,"Completado")</f>
        <v>0</v>
      </c>
      <c r="C8" s="21"/>
      <c r="D8" s="21" t="s">
        <v>273</v>
      </c>
      <c r="E8" s="21">
        <f>B9</f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21" t="s">
        <v>8</v>
      </c>
      <c r="B9" s="21">
        <f>COUNTIF('Diccionario EDT'!$G$4:$G$100,"Bloqueado")</f>
        <v>0</v>
      </c>
      <c r="C9" s="21"/>
      <c r="D9" s="21"/>
      <c r="E9" s="2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21"/>
      <c r="B10" s="21"/>
      <c r="C10" s="21"/>
      <c r="D10" s="21"/>
      <c r="E10" s="2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21"/>
      <c r="B11" s="21"/>
      <c r="C11" s="21"/>
      <c r="D11" s="21"/>
      <c r="E11" s="2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21"/>
      <c r="B12" s="21"/>
      <c r="C12" s="21"/>
      <c r="D12" s="21"/>
      <c r="E12" s="2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6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6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6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6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6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6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6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6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6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6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6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6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6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6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6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6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6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6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6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6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6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6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6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6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6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6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6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6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6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6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6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6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6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6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6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6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6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6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6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6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6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6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6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6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6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6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6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6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6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6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6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6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6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6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6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6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6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6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6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6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6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6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6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6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6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6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6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6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6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6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6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6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6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6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6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6" customHeight="1"/>
    <row r="102" spans="1:26" ht="12.6" customHeight="1"/>
    <row r="103" spans="1:26" ht="12.6" customHeight="1"/>
    <row r="104" spans="1:26" ht="12.6" customHeight="1"/>
    <row r="105" spans="1:26" ht="12.6" customHeight="1"/>
    <row r="106" spans="1:26" ht="12.6" customHeight="1"/>
    <row r="107" spans="1:26" ht="12.6" customHeight="1"/>
    <row r="108" spans="1:26" ht="12.6" customHeight="1"/>
    <row r="109" spans="1:26" ht="12.6" customHeight="1"/>
    <row r="110" spans="1:26" ht="12.6" customHeight="1"/>
    <row r="111" spans="1:26" ht="12.6" customHeight="1"/>
    <row r="112" spans="1:26" ht="12.6" customHeight="1"/>
    <row r="113" ht="12.6" customHeight="1"/>
    <row r="114" ht="12.6" customHeight="1"/>
    <row r="115" ht="12.6" customHeight="1"/>
    <row r="116" ht="12.6" customHeight="1"/>
    <row r="117" ht="12.6" customHeight="1"/>
    <row r="118" ht="12.6" customHeight="1"/>
    <row r="119" ht="12.6" customHeight="1"/>
    <row r="120" ht="12.6" customHeight="1"/>
    <row r="121" ht="12.6" customHeight="1"/>
    <row r="122" ht="12.6" customHeight="1"/>
    <row r="123" ht="12.6" customHeight="1"/>
    <row r="124" ht="12.6" customHeight="1"/>
    <row r="125" ht="12.6" customHeight="1"/>
    <row r="126" ht="12.6" customHeight="1"/>
    <row r="127" ht="12.6" customHeight="1"/>
    <row r="128" ht="12.6" customHeight="1"/>
    <row r="129" ht="12.6" customHeight="1"/>
    <row r="130" ht="12.6" customHeight="1"/>
    <row r="131" ht="12.6" customHeight="1"/>
    <row r="132" ht="12.6" customHeight="1"/>
    <row r="133" ht="12.6" customHeight="1"/>
    <row r="134" ht="12.6" customHeight="1"/>
    <row r="135" ht="12.6" customHeight="1"/>
    <row r="136" ht="12.6" customHeight="1"/>
    <row r="137" ht="12.6" customHeight="1"/>
    <row r="138" ht="12.6" customHeight="1"/>
    <row r="139" ht="12.6" customHeight="1"/>
    <row r="140" ht="12.6" customHeight="1"/>
    <row r="141" ht="12.6" customHeight="1"/>
    <row r="142" ht="12.6" customHeight="1"/>
    <row r="143" ht="12.6" customHeight="1"/>
    <row r="144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</sheetData>
  <mergeCells count="1">
    <mergeCell ref="A1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D2"/>
    </sheetView>
  </sheetViews>
  <sheetFormatPr baseColWidth="10" defaultColWidth="12.59765625" defaultRowHeight="13.8"/>
  <cols>
    <col min="1" max="1" width="24" customWidth="1"/>
    <col min="2" max="2" width="54" customWidth="1"/>
    <col min="3" max="4" width="48" customWidth="1"/>
    <col min="5" max="26" width="8.59765625" customWidth="1"/>
  </cols>
  <sheetData>
    <row r="1" spans="1:26" ht="14.4">
      <c r="A1" s="184" t="s">
        <v>9</v>
      </c>
      <c r="B1" s="180"/>
      <c r="C1" s="180"/>
      <c r="D1" s="18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185"/>
      <c r="B2" s="182"/>
      <c r="C2" s="182"/>
      <c r="D2" s="18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9" t="s">
        <v>10</v>
      </c>
      <c r="B4" s="9" t="s">
        <v>11</v>
      </c>
      <c r="C4" s="9" t="s">
        <v>12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8">
      <c r="A5" s="11" t="s">
        <v>14</v>
      </c>
      <c r="B5" s="11" t="s">
        <v>15</v>
      </c>
      <c r="C5" s="11" t="s">
        <v>16</v>
      </c>
      <c r="D5" s="11" t="s">
        <v>17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.8">
      <c r="A6" s="11" t="s">
        <v>18</v>
      </c>
      <c r="B6" s="11" t="s">
        <v>19</v>
      </c>
      <c r="C6" s="11" t="s">
        <v>16</v>
      </c>
      <c r="D6" s="11" t="s">
        <v>20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8.8">
      <c r="A7" s="11" t="s">
        <v>21</v>
      </c>
      <c r="B7" s="11" t="s">
        <v>22</v>
      </c>
      <c r="C7" s="11" t="s">
        <v>16</v>
      </c>
      <c r="D7" s="11" t="s">
        <v>23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8.8">
      <c r="A8" s="11" t="s">
        <v>24</v>
      </c>
      <c r="B8" s="11" t="s">
        <v>25</v>
      </c>
      <c r="C8" s="11" t="s">
        <v>26</v>
      </c>
      <c r="D8" s="11" t="s">
        <v>27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8.8">
      <c r="A9" s="11" t="s">
        <v>28</v>
      </c>
      <c r="B9" s="11" t="s">
        <v>29</v>
      </c>
      <c r="C9" s="11" t="s">
        <v>26</v>
      </c>
      <c r="D9" s="11" t="s">
        <v>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11" t="s">
        <v>31</v>
      </c>
      <c r="B10" s="11" t="s">
        <v>32</v>
      </c>
      <c r="C10" s="11" t="s">
        <v>33</v>
      </c>
      <c r="D10" s="11" t="s">
        <v>34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6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6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6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6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6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6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6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6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6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6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6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6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6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6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6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6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6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6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6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6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6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6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6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6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6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6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6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6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6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6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6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6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6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6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6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6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6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6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6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6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6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6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6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6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6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6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6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6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6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6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6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6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6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6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6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6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6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6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6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6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6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6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6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6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6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6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6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6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6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6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6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6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6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6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6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6" customHeight="1"/>
    <row r="102" spans="1:26" ht="12.6" customHeight="1"/>
    <row r="103" spans="1:26" ht="12.6" customHeight="1"/>
    <row r="104" spans="1:26" ht="12.6" customHeight="1"/>
    <row r="105" spans="1:26" ht="12.6" customHeight="1"/>
    <row r="106" spans="1:26" ht="12.6" customHeight="1"/>
    <row r="107" spans="1:26" ht="12.6" customHeight="1"/>
    <row r="108" spans="1:26" ht="12.6" customHeight="1"/>
    <row r="109" spans="1:26" ht="12.6" customHeight="1"/>
    <row r="110" spans="1:26" ht="12.6" customHeight="1"/>
    <row r="111" spans="1:26" ht="12.6" customHeight="1"/>
    <row r="112" spans="1:26" ht="12.6" customHeight="1"/>
    <row r="113" ht="12.6" customHeight="1"/>
    <row r="114" ht="12.6" customHeight="1"/>
    <row r="115" ht="12.6" customHeight="1"/>
    <row r="116" ht="12.6" customHeight="1"/>
    <row r="117" ht="12.6" customHeight="1"/>
    <row r="118" ht="12.6" customHeight="1"/>
    <row r="119" ht="12.6" customHeight="1"/>
    <row r="120" ht="12.6" customHeight="1"/>
    <row r="121" ht="12.6" customHeight="1"/>
    <row r="122" ht="12.6" customHeight="1"/>
    <row r="123" ht="12.6" customHeight="1"/>
    <row r="124" ht="12.6" customHeight="1"/>
    <row r="125" ht="12.6" customHeight="1"/>
    <row r="126" ht="12.6" customHeight="1"/>
    <row r="127" ht="12.6" customHeight="1"/>
    <row r="128" ht="12.6" customHeight="1"/>
    <row r="129" ht="12.6" customHeight="1"/>
    <row r="130" ht="12.6" customHeight="1"/>
    <row r="131" ht="12.6" customHeight="1"/>
    <row r="132" ht="12.6" customHeight="1"/>
    <row r="133" ht="12.6" customHeight="1"/>
    <row r="134" ht="12.6" customHeight="1"/>
    <row r="135" ht="12.6" customHeight="1"/>
    <row r="136" ht="12.6" customHeight="1"/>
    <row r="137" ht="12.6" customHeight="1"/>
    <row r="138" ht="12.6" customHeight="1"/>
    <row r="139" ht="12.6" customHeight="1"/>
    <row r="140" ht="12.6" customHeight="1"/>
    <row r="141" ht="12.6" customHeight="1"/>
    <row r="142" ht="12.6" customHeight="1"/>
    <row r="143" ht="12.6" customHeight="1"/>
    <row r="144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EDT</vt:lpstr>
      <vt:lpstr>Diccionario EDT</vt:lpstr>
      <vt:lpstr>Control</vt:lpstr>
      <vt:lpstr>Guía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franciscoossandon.j@gmail.com</cp:lastModifiedBy>
  <dcterms:created xsi:type="dcterms:W3CDTF">2026-09-29T23:10:44Z</dcterms:created>
  <dcterms:modified xsi:type="dcterms:W3CDTF">2026-09-29T23:10:44Z</dcterms:modified>
</cp:coreProperties>
</file>